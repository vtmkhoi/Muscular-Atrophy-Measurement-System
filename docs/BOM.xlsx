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f010977c1c328cb/Education/Master/04_Projects/05_thesis/docs/"/>
    </mc:Choice>
  </mc:AlternateContent>
  <xr:revisionPtr revIDLastSave="1585" documentId="8_{CEBC7843-4C89-41F5-9441-81A4701A0A95}" xr6:coauthVersionLast="47" xr6:coauthVersionMax="47" xr10:uidLastSave="{50EDA828-36A1-4F4C-93A0-FED1C38AD3F0}"/>
  <bookViews>
    <workbookView xWindow="-120" yWindow="-120" windowWidth="29040" windowHeight="15720" activeTab="4" xr2:uid="{CFCF8C68-E810-4141-A55B-8CB2E3B1E5C5}"/>
  </bookViews>
  <sheets>
    <sheet name="BOM_1" sheetId="1" r:id="rId1"/>
    <sheet name="BOM_2" sheetId="5" r:id="rId2"/>
    <sheet name="Biên" sheetId="3" r:id="rId3"/>
    <sheet name="Minh" sheetId="4" r:id="rId4"/>
    <sheet name="Khôi" sheetId="2" r:id="rId5"/>
  </sheets>
  <definedNames>
    <definedName name="_xlnm._FilterDatabase" localSheetId="0" hidden="1">BOM_1!#REF!</definedName>
    <definedName name="_xlnm._FilterDatabase" localSheetId="4" hidden="1">Khôi!$A$2:$O$64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2" l="1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50" i="2"/>
  <c r="G46" i="2"/>
  <c r="H46" i="2" s="1"/>
  <c r="G47" i="2"/>
  <c r="H47" i="2" s="1"/>
  <c r="G48" i="2"/>
  <c r="H48" i="2" s="1"/>
  <c r="G49" i="2"/>
  <c r="H49" i="2" s="1"/>
  <c r="H50" i="2"/>
  <c r="G51" i="2"/>
  <c r="H51" i="2" s="1"/>
  <c r="G52" i="2"/>
  <c r="H52" i="2" s="1"/>
  <c r="G53" i="2"/>
  <c r="H53" i="2" s="1"/>
  <c r="G54" i="2"/>
  <c r="H54" i="2" s="1"/>
  <c r="G55" i="2"/>
  <c r="H55" i="2" s="1"/>
  <c r="G45" i="2"/>
  <c r="H45" i="2" s="1"/>
  <c r="G43" i="2"/>
  <c r="H43" i="2" s="1"/>
  <c r="G44" i="2"/>
  <c r="H44" i="2" s="1"/>
  <c r="G42" i="2"/>
  <c r="H42" i="2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25" i="5"/>
  <c r="H25" i="5" s="1"/>
  <c r="G24" i="5"/>
  <c r="H24" i="5" s="1"/>
  <c r="G23" i="5"/>
  <c r="H23" i="5" s="1"/>
  <c r="G22" i="5"/>
  <c r="H22" i="5" s="1"/>
  <c r="G21" i="5"/>
  <c r="H21" i="5" s="1"/>
  <c r="G20" i="5"/>
  <c r="H20" i="5" s="1"/>
  <c r="G19" i="5"/>
  <c r="H19" i="5" s="1"/>
  <c r="G18" i="5"/>
  <c r="H18" i="5" s="1"/>
  <c r="G17" i="5"/>
  <c r="H17" i="5" s="1"/>
  <c r="G16" i="5"/>
  <c r="H16" i="5" s="1"/>
  <c r="G15" i="5"/>
  <c r="H15" i="5" s="1"/>
  <c r="G14" i="5"/>
  <c r="H14" i="5" s="1"/>
  <c r="G13" i="5"/>
  <c r="H13" i="5" s="1"/>
  <c r="G12" i="5"/>
  <c r="H12" i="5" s="1"/>
  <c r="G11" i="5"/>
  <c r="H11" i="5" s="1"/>
  <c r="G10" i="5"/>
  <c r="H10" i="5" s="1"/>
  <c r="G9" i="5"/>
  <c r="H9" i="5" s="1"/>
  <c r="G8" i="5"/>
  <c r="H8" i="5" s="1"/>
  <c r="G7" i="5"/>
  <c r="H7" i="5" s="1"/>
  <c r="G6" i="5"/>
  <c r="H6" i="5" s="1"/>
  <c r="G5" i="5"/>
  <c r="H5" i="5" s="1"/>
  <c r="G4" i="5"/>
  <c r="G3" i="5"/>
  <c r="H3" i="5" s="1"/>
  <c r="G2" i="5"/>
  <c r="H2" i="5" s="1"/>
  <c r="G6" i="1"/>
  <c r="H6" i="1" s="1"/>
  <c r="G5" i="1"/>
  <c r="H5" i="1" s="1"/>
  <c r="G4" i="1"/>
  <c r="G3" i="1"/>
  <c r="H3" i="1" s="1"/>
  <c r="M13" i="3"/>
  <c r="H3" i="4"/>
  <c r="H4" i="4"/>
  <c r="H5" i="4"/>
  <c r="H6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" i="3"/>
  <c r="G2" i="1"/>
  <c r="H2" i="1" s="1"/>
  <c r="L10" i="4"/>
  <c r="G6" i="4"/>
  <c r="G5" i="4"/>
  <c r="G4" i="4"/>
  <c r="G3" i="4"/>
  <c r="G2" i="4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M12" i="3" s="1"/>
  <c r="G7" i="2"/>
  <c r="H7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8" i="2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4" i="2"/>
  <c r="H4" i="2" s="1"/>
  <c r="G5" i="2"/>
  <c r="H5" i="2" s="1"/>
  <c r="G6" i="2"/>
  <c r="H6" i="2" s="1"/>
  <c r="G3" i="2"/>
  <c r="H3" i="2" l="1"/>
  <c r="S27" i="2"/>
  <c r="S29" i="2" s="1"/>
  <c r="M2" i="5"/>
  <c r="M4" i="5"/>
  <c r="H4" i="5"/>
  <c r="M3" i="5"/>
  <c r="M2" i="1"/>
  <c r="M4" i="1" s="1"/>
  <c r="H4" i="1"/>
  <c r="M3" i="1" s="1"/>
  <c r="L9" i="4"/>
  <c r="H2" i="4"/>
  <c r="L11" i="4"/>
  <c r="M14" i="3"/>
  <c r="H8" i="2"/>
  <c r="S28" i="2" l="1"/>
</calcChain>
</file>

<file path=xl/sharedStrings.xml><?xml version="1.0" encoding="utf-8"?>
<sst xmlns="http://schemas.openxmlformats.org/spreadsheetml/2006/main" count="939" uniqueCount="424">
  <si>
    <t>No.</t>
  </si>
  <si>
    <t>DigiKey Part Number</t>
  </si>
  <si>
    <t>Manufacturer Product Number</t>
  </si>
  <si>
    <t>Quantity</t>
  </si>
  <si>
    <t>Description</t>
  </si>
  <si>
    <t>Price per Unit</t>
  </si>
  <si>
    <t>Total Price (USDT)</t>
  </si>
  <si>
    <t>Total Price (VND)</t>
  </si>
  <si>
    <t>Link DigitalKey</t>
  </si>
  <si>
    <t>PIC</t>
  </si>
  <si>
    <t>475-BPW34-ND</t>
  </si>
  <si>
    <t>BPW34</t>
  </si>
  <si>
    <t>SENSOR PHOTODIODE 850NM 2DIP</t>
  </si>
  <si>
    <t>https://www.digikey.com/en/products/detail/ams-osram-usa-inc/BPW34/607274</t>
  </si>
  <si>
    <t>Biên</t>
  </si>
  <si>
    <t>Total cost USDT</t>
  </si>
  <si>
    <t>AD9834BRUZ-REEL7TR-ND</t>
  </si>
  <si>
    <t>AD9834BRUZ-REEL7</t>
  </si>
  <si>
    <t>IC DDS 50MHZ 10BIT 20TSSOP</t>
  </si>
  <si>
    <t>https://www.digikey.com/en/products/detail/analog-devices-inc/AD9834BRUZ-REEL7/994992</t>
  </si>
  <si>
    <t>Khôi</t>
  </si>
  <si>
    <t>Tocal Cost VND</t>
  </si>
  <si>
    <t>505-AD8302ARUZ-ND</t>
  </si>
  <si>
    <t>AD8302ARUZ</t>
  </si>
  <si>
    <t>IC RF DETECT 2.7GHZ 14TSSOP</t>
  </si>
  <si>
    <t>https://www.digikey.com/en/products/detail/analog-devices-inc/AD8302ARUZ/671074</t>
  </si>
  <si>
    <t>Total Cost China</t>
  </si>
  <si>
    <t>497-14909-ND</t>
  </si>
  <si>
    <t>STM32F411RET6</t>
  </si>
  <si>
    <t>IC MCU 32BIT 512KB FLASH 64LQFP</t>
  </si>
  <si>
    <t>https://www.digikey.com/en/products/detail/stmicroelectronics/STM32F411RET6/4935722</t>
  </si>
  <si>
    <t>505-AD8130ARMZ-REELTR-ND</t>
  </si>
  <si>
    <t>AD8130ARMZ-REEL</t>
  </si>
  <si>
    <t>IC OPAMP DIFF 1 CIRCUIT 8MSOP</t>
  </si>
  <si>
    <t>https://www.digikey.com/en/products/detail/analog-devices-inc/AD8130ARMZ-REEL/994072</t>
  </si>
  <si>
    <t>490-1419-2-ND</t>
  </si>
  <si>
    <t>GRM1885C1H470JA01D</t>
  </si>
  <si>
    <t>CAP CER 47PF 50V C0G/NP0 0603</t>
  </si>
  <si>
    <t>https://www.digikey.com/en/products/detail/murata-electronics/GRM1885C1H470JA01D/586904</t>
  </si>
  <si>
    <t>490-3285-2-ND</t>
  </si>
  <si>
    <t>GRM188R72A104KA35D</t>
  </si>
  <si>
    <t>CAP CER 0.1UF 100V X7R 0603</t>
  </si>
  <si>
    <t>https://www.digikey.com/en/products/detail/murata-electronics/GRM188R72A104KA35D/702826</t>
  </si>
  <si>
    <t>490-GRM188R72A103KA01DTR-ND</t>
  </si>
  <si>
    <t>GRM188R72A103KA01D</t>
  </si>
  <si>
    <t>CAP CER 10000PF 100V X7R 0603</t>
  </si>
  <si>
    <t>https://www.digikey.com/en/products/detail/murata-electronics/GRM188R72A103KA01D/3845635</t>
  </si>
  <si>
    <t>490-1438-2-ND</t>
  </si>
  <si>
    <t>GRM1885C1H301JA01D</t>
  </si>
  <si>
    <t>CAP CER 300PF 50V C0G/NP0 0603</t>
  </si>
  <si>
    <t>https://www.digikey.com/en/products/detail/murata-electronics/grm1885c1h301ja01d/586964</t>
  </si>
  <si>
    <t>490-16776-2-ND</t>
  </si>
  <si>
    <t>GRM1885C1H331JA01J</t>
  </si>
  <si>
    <t>CAP CER 330PF 50V C0G/NP0 0603</t>
  </si>
  <si>
    <t>https://www.digikey.com/en/products/detail/murata-electronics/grm1885c1h331ja01j/2611160</t>
  </si>
  <si>
    <t>490-11457-2-ND</t>
  </si>
  <si>
    <t>GRM1885C1H271JA01J</t>
  </si>
  <si>
    <t>CAP CER 270PF 50V C0G/NP0 0603</t>
  </si>
  <si>
    <t>https://www.digikey.com/en/products/detail/murata-electronics/grm1885c1h271ja01j/2611130</t>
  </si>
  <si>
    <t>P49.9HTR-ND</t>
  </si>
  <si>
    <t>ERJ-3EKF49R9V</t>
  </si>
  <si>
    <t>RES SMD 49.9 OHM 1% 1/10W 0603</t>
  </si>
  <si>
    <t>ERJ-3EKF49R9V Panasonic Electronic Components | Resistors | DigiKey</t>
  </si>
  <si>
    <t>505-AD8014ARZ-ND</t>
  </si>
  <si>
    <t>AD8014ARZ</t>
  </si>
  <si>
    <t>IC OPAMP CFA 1 CIRCUIT 8SOIC</t>
  </si>
  <si>
    <t>https://www.digikey.com/en/products/detail/analog-devices-inc/ad8014arz/620459</t>
  </si>
  <si>
    <t>490-1181-1-ND</t>
  </si>
  <si>
    <t>LQW18ANR27J00D</t>
  </si>
  <si>
    <t>FIXED IND 270NH 0603 (Murata LQW18, high-Q)</t>
  </si>
  <si>
    <t>https://www.digikey.com/en/products/detail/murata-electronics/LQW18ANR27J00D/584389</t>
  </si>
  <si>
    <t>490-1183-1-ND</t>
  </si>
  <si>
    <t>LQW18ANR39J00D</t>
  </si>
  <si>
    <t>FIXED IND 390NH 0603 (Murata LQW18, high-Q)</t>
  </si>
  <si>
    <t>https://www.digikey.com/en/products/detail/murata-electronics/LQW18ANR39J00D/584391</t>
  </si>
  <si>
    <t>490-1184-1-ND</t>
  </si>
  <si>
    <t>LQW18ANR47J00D</t>
  </si>
  <si>
    <t>FIXED IND 470NH 0603 (Murata LQW18, high-Q)</t>
  </si>
  <si>
    <t>https://www.digikey.com/en/products/detail/murata-electronics/LQW18ANR47J00D/584392</t>
  </si>
  <si>
    <t>535-11201-1-ND</t>
  </si>
  <si>
    <t>ASDMB-75.000MHZ-LY-T</t>
  </si>
  <si>
    <t>MEMS OSC XO 75.0000MHZ LVCMOS (AD9834 MCLK)</t>
  </si>
  <si>
    <t>https://www.digikey.com/en/products/detail/abracon-llc/ASDMB-75-000MHZ-LY-T/2624314</t>
  </si>
  <si>
    <t>296-50411-1-ND</t>
  </si>
  <si>
    <t>TLV75533PDBVR</t>
  </si>
  <si>
    <t>IC REG LINEAR 3.3V 500MA (LDO for AVDD/DVDD as needed)</t>
  </si>
  <si>
    <t>https://www.digikey.com/en/products/detail/texas-instruments/TLV75533PDBVR/9356541</t>
  </si>
  <si>
    <t>F3733CT-ND</t>
  </si>
  <si>
    <t>1206L050/15YR</t>
  </si>
  <si>
    <t>PTC RESET FUSE 15V 500MA 1206 (input protection)</t>
  </si>
  <si>
    <t>https://www.digikey.com/en/products/detail/littelfuse-inc/1206L050-15YR/1211396</t>
  </si>
  <si>
    <t>4878-SMF5.0ACT-ND</t>
  </si>
  <si>
    <t>SMF5.0A</t>
  </si>
  <si>
    <t>TVS DIODE 5VWM 9.2VC SOD-123F (5V rail surge/ESD)</t>
  </si>
  <si>
    <t>https://www.digikey.com/en/products/detail/diotec-semiconductor/SMF5-0A/13163545</t>
  </si>
  <si>
    <t>1727-3843-1-ND</t>
  </si>
  <si>
    <t>PESD5V2S2UT,215</t>
  </si>
  <si>
    <t>2-line TVS/ESD diode array (protect electrode/analog I/O lines)</t>
  </si>
  <si>
    <t>https://www.digikey.com/en/products/detail/nexperia-usa-inc/PESD5V2S2UT-215/1157475</t>
  </si>
  <si>
    <t xml:space="preserve">
2648-SC0875-ND</t>
  </si>
  <si>
    <t xml:space="preserve">	
SC0875</t>
  </si>
  <si>
    <t>Camera Raspberry Pi</t>
  </si>
  <si>
    <t>https://www.digikey.com/en/products/detail/raspberry-pi/SC0875/17278642</t>
  </si>
  <si>
    <t>Minh</t>
  </si>
  <si>
    <t>1528-1792-ND</t>
  </si>
  <si>
    <t>RASPBERRY PI CAMERA CABLE 2M</t>
  </si>
  <si>
    <t>https://www.digikey.com/en/products/detail/adafruit-industries-llc/2144/6238162</t>
  </si>
  <si>
    <t xml:space="preserve">
1528-1791-ND</t>
  </si>
  <si>
    <t>RASPBERRY PI CAMERA CABLE 610MM</t>
  </si>
  <si>
    <t>https://www.digikey.com/en/products/detail/adafruit-industries-llc/1731/6238161</t>
  </si>
  <si>
    <t>4679-B0305-ND</t>
  </si>
  <si>
    <t>B0305</t>
  </si>
  <si>
    <t>ARDUCAM 12MP IMX708 USB UVC 102</t>
  </si>
  <si>
    <t>https://www.digikey.com/en/products/detail/arducam/B0305/19116505?s=N4IgTCBcDaIDoBcAEAWAbAdgJwFoBCADAMwECsOAcgCIgC6AvkA</t>
  </si>
  <si>
    <t>2648-SC1732-ND</t>
  </si>
  <si>
    <t>RASPBERRY PI 45W USB-C POWER SUP</t>
  </si>
  <si>
    <t>https://www.digikey.com/en/products/detail/raspberry-pi/SC1732/26241093</t>
  </si>
  <si>
    <t>541-3194-2-ND</t>
  </si>
  <si>
    <t>TNPW06036K80BEEA</t>
  </si>
  <si>
    <t>RES 6.8K OHM 0.1% 0.21W 0603</t>
  </si>
  <si>
    <t>https://www.digikey.com/en/products/detail/vishay-dale/TNPW06036K80BEEA/1606862?s=N4IgTCBcDaICoDkAKB1ADANjQZgwaQA40AhAUVIEEQBdAXyA</t>
  </si>
  <si>
    <t>541-3049-2-ND</t>
  </si>
  <si>
    <t>TNPW0603200RBEEA</t>
  </si>
  <si>
    <t>RES 200 OHM 0.1% 0.21W 0603</t>
  </si>
  <si>
    <t>https://www.digikey.com/en/products/detail/vishay-dale/TNPW0603200RBEEA/1606685?s=N4IgTCBcDaICoDkAKB1ADANjQZjGtASgEICiJAgiALoC%2BQA</t>
  </si>
  <si>
    <t>541-3634-2-ND</t>
  </si>
  <si>
    <t>TNPW0603280RBEEA</t>
  </si>
  <si>
    <t>RES 280 OHM 0.1% 0.21W 0603</t>
  </si>
  <si>
    <t>https://www.digikey.com/en/products/detail/vishay-dale/tnpw0603280rbeea/1606702</t>
  </si>
  <si>
    <t>TNPW06031K00BEEA</t>
  </si>
  <si>
    <t>TNP1.00KAATR-ND</t>
  </si>
  <si>
    <t>RES 1K OHM 0.1% 0.21W 0603</t>
  </si>
  <si>
    <t>https://www.digikey.com/en/products/detail/vishay-dale/TNPW06031K00BEEA/1606767?s=N4IgTCBcDaICoDkAKBGAdABgwaQIK7gCUBaBAERAF0BfIA</t>
  </si>
  <si>
    <t>311-22.0HRTR-ND</t>
  </si>
  <si>
    <t>RC0603FR-0722RL</t>
  </si>
  <si>
    <t>RES 22 OHM 1% 1/10W 0603</t>
  </si>
  <si>
    <t>https://www.digikey.com/en/products/detail/yageo/RC0603FR-0722RL/727055?s=N4IgTCBcDaIEoGEAMA2JBmAYnAtEg7GGHADIgC6AvkA</t>
  </si>
  <si>
    <t>RC0603JR-070RL</t>
  </si>
  <si>
    <t>RES 0 OHM JUMPER 1/10W 0603</t>
  </si>
  <si>
    <t>https://www.digikey.com/en/products/detail/yageo/RC0603JR-070RL/726675?s=N4IgTCBcDaIEoGEAMA2JBmAUnAtEg7EnADIgC6AvkA</t>
  </si>
  <si>
    <t>541-2030-2-ND</t>
  </si>
  <si>
    <t>TNPW0603499RBEEA</t>
  </si>
  <si>
    <t>RES 499 OHM 0.1% 0.21W 0603</t>
  </si>
  <si>
    <t>https://www.digikey.com/en/products/detail/vishay-dale/tnpw0603499rbeea/1606732</t>
  </si>
  <si>
    <t>TNPW06031K78BEEA</t>
  </si>
  <si>
    <t>541-TNPW06031K78BEEATR-ND</t>
  </si>
  <si>
    <t>RES 1.78K OHM 0.1% 0.21W 0603</t>
  </si>
  <si>
    <t>TNPW06031K78BEEA Vishay Dale | Resistors | DigiKey</t>
  </si>
  <si>
    <t>311-510HRTR-ND</t>
  </si>
  <si>
    <t>RC0603FR-07510RL</t>
  </si>
  <si>
    <t>RES 510 OHM 1% 1/10W 0603</t>
  </si>
  <si>
    <t>https://www.digikey.com/en/products/detail/yageo/rc0603fr-07510rl/727285</t>
  </si>
  <si>
    <t>2266-RC0603FR-072K67LTR-ND</t>
  </si>
  <si>
    <t>RC0603FR-072K67L</t>
  </si>
  <si>
    <t>RES 2.67K OHM 1% 0.1W, 1/10W 0603</t>
  </si>
  <si>
    <t>https://www.digikey.com/en/products/detail/yageo-america/rc0603fr-072k67l/22283163</t>
  </si>
  <si>
    <t>311-51.0HRTR-ND</t>
  </si>
  <si>
    <t>RC0603FR-0751RL</t>
  </si>
  <si>
    <t>RES 51 OHM 1% 1/10W 0603</t>
  </si>
  <si>
    <t>https://www.digikey.com/en/products/detail/yageo/rc0603fr-0751rl/727281</t>
  </si>
  <si>
    <t>311-10.0KHRTR-ND</t>
  </si>
  <si>
    <t>RC0603FR-0710KL</t>
  </si>
  <si>
    <t>RES 10K OHM 1% 1/10W 0603</t>
  </si>
  <si>
    <t>https://www.digikey.com/en/products/detail/yageo/rc0603fr-0710kl/726880</t>
  </si>
  <si>
    <t>TNP10.0AATR-ND</t>
  </si>
  <si>
    <t>TNPW060310R0BEEA</t>
  </si>
  <si>
    <t>RES 10 OHM 0.1% 0.21W 0603</t>
  </si>
  <si>
    <t>https://www.digikey.com/en/products/detail/vishay-dale/tnpw060310r0beea/1606539</t>
  </si>
  <si>
    <t>490-1410-2-ND</t>
  </si>
  <si>
    <t>GRM1885C1H200JA01D</t>
  </si>
  <si>
    <t>CAP CER 20PF 50V C0G/NP0 0603</t>
  </si>
  <si>
    <t>https://www.digikey.com/en/products/detail/murata-electronics/GRM1885C1H200JA01D/586920</t>
  </si>
  <si>
    <t>490-10700-2-ND</t>
  </si>
  <si>
    <t>GRM155R71H104KE14D</t>
  </si>
  <si>
    <t>CAP CER 0.1UF 50V X7R 0603</t>
  </si>
  <si>
    <t>https://www.digikey.com/en/products/detail/kemet/C0603C104K5RACTU/1465594</t>
  </si>
  <si>
    <t>399-C0603C105K3RACTUTR-ND</t>
  </si>
  <si>
    <t>C0603C105K3RACTU</t>
  </si>
  <si>
    <t>CAP CER 1UF 25V X7R 0603</t>
  </si>
  <si>
    <t>https://www.digikey.com/en/products/detail/kemet/C0603C105K3RACTU/3317410</t>
  </si>
  <si>
    <t>GRM1555C1H1R0WA01J-ND</t>
  </si>
  <si>
    <t>GRM1555C1H1R0WA01J</t>
  </si>
  <si>
    <t>CAP CER 1PF 50V C0G/NP0 0402</t>
  </si>
  <si>
    <t>https://www.digikey.com/en/products/detail/murata-electronics/grm1555c1h1r0wa01j/4904825</t>
  </si>
  <si>
    <t>311-1873-2-ND</t>
  </si>
  <si>
    <t>CC0805KKX5R9BB225</t>
  </si>
  <si>
    <t>CAP CER 2.2UF 50V X5R 0805</t>
  </si>
  <si>
    <t>https://www.digikey.com/en/products/detail/yageo/CC0805KKX5R9BB225/5195775</t>
  </si>
  <si>
    <t>490-16772-2-ND</t>
  </si>
  <si>
    <t>GRM1885C1H181JA01J</t>
  </si>
  <si>
    <t>CAP CER 180PF 50V C0G/NP0 0603</t>
  </si>
  <si>
    <t>https://www.digikey.com/en/products/detail/murata-electronics/grm1885c1h181ja01j/2611094</t>
  </si>
  <si>
    <t>Quanlity</t>
  </si>
  <si>
    <t>Total Price</t>
  </si>
  <si>
    <t>Bien</t>
  </si>
  <si>
    <t>311-10.0FRCT-ND</t>
  </si>
  <si>
    <t>RC1206FR-0710RL</t>
  </si>
  <si>
    <t>RES 10 OHM 1% 1/4W 1206</t>
  </si>
  <si>
    <t>https://www.digikey.com/en/products/detail/yageo/RC1206FR-0710RL/728482?s=N4IgTCBcDaIMwEYEFoEAYB0aBiAlAwgCrIByAIiALoC%2BQA</t>
  </si>
  <si>
    <t>311-4.7KJRCT-ND</t>
  </si>
  <si>
    <t>RC0402JR-074K7L</t>
  </si>
  <si>
    <t>RES 4.7K OHM 5% 1/16W 0402</t>
  </si>
  <si>
    <t>https://www.digikey.com/en/products/detail/yageo/RC0402JR-074K7L/726477?s=N4IgTCBcDaIMwEYEFoAsA6A7AaQFICUBhAFWQDkAREAXQF8g</t>
  </si>
  <si>
    <t>490-11204-1-ND</t>
  </si>
  <si>
    <t>GJM1555C1H200FB01D</t>
  </si>
  <si>
    <t>CAP CER 20PF 50V C0G/NP0 0402</t>
  </si>
  <si>
    <t>https://www.digikey.com/en/products/detail/murata-electronics/GJM1555C1H200FB01D/2592908?s=N4IgTCBcDaICwE4AMBaAjGsS7pQOQBEQBdAXyA</t>
  </si>
  <si>
    <t>311-1.0KJRCT-ND</t>
  </si>
  <si>
    <t>RC0402JR-071KL</t>
  </si>
  <si>
    <t>RES 1K OHM 5% 1/16W 0402</t>
  </si>
  <si>
    <t>https://www.digikey.com/en/products/detail/yageo/RC0402JR-071KL/726408?s=N4IgTCBcDaIMwEYEFoEDoAMBpAUgJQGEAVZAOQBEQBdAXyA</t>
  </si>
  <si>
    <t>311-330HRCT-ND</t>
  </si>
  <si>
    <t>RC0603FR-07330RL</t>
  </si>
  <si>
    <t>RES 330 OHM 1% 1/10W 0603</t>
  </si>
  <si>
    <t>https://www.digikey.com/en/products/detail/yageo/RC0603FR-07330RL/727162?s=N4IgTCBcDaIMwEYEFo5wAwAkBKBhAKsgHIAiIAugL5A</t>
  </si>
  <si>
    <t>1276-3431-1-ND</t>
  </si>
  <si>
    <t>RC1005F103CS</t>
  </si>
  <si>
    <t>RES SMD 10K OHM 1% 1/16W 0402</t>
  </si>
  <si>
    <t>https://www.digikey.com/en/products/detail/samsung-electro-mechanics/RC1005F103CS/3903439?s=N4IgTCBcDaIIxgOwDYC0BmALOurcDkAREAXQF8g</t>
  </si>
  <si>
    <t>535-9542-1-ND</t>
  </si>
  <si>
    <t>ABS07-32.768KHZ-T</t>
  </si>
  <si>
    <t>CRYSTAL 32.7680KHZ 12.5PF SMD</t>
  </si>
  <si>
    <t>https://www.digikey.com/en/products/detail/abracon-llc/ABS07-32-768KHZ-T/1236858?s=N4IgTCBcDaIKwGY4FoCccAsZkEZkDkAREAXQF8g</t>
  </si>
  <si>
    <t>1276-2876-1-ND</t>
  </si>
  <si>
    <t>CL31A106KBHNNNE</t>
  </si>
  <si>
    <t>CAP CER 10UF 50V X5R 1206</t>
  </si>
  <si>
    <t>https://www.digikey.com/en/products/detail/samsung-electro-mechanics/CL31A106KBHNNNE/3888534?s=N4IgTCBcDaIIxgOwDYC0YAcLV1QOQBEQBdAXyA</t>
  </si>
  <si>
    <t>535-10630-1-ND</t>
  </si>
  <si>
    <t>ABM3-8.000MHZ-D2Y-T</t>
  </si>
  <si>
    <t>CRYSTAL 8.0000MHZ 18PF SMD</t>
  </si>
  <si>
    <t>https://www.digikey.com/en/products/detail/abracon-llc/ABM3-8-000MHZ-D2Y-T/2344570?s=N4IgTCBcDaIKwGY4FoCMAGAbA9bkDkAREAXQF8g</t>
  </si>
  <si>
    <t>490-10672-1-ND</t>
  </si>
  <si>
    <t>GCM155R71H104KE02D</t>
  </si>
  <si>
    <t>CAP CER 0.1UF 50V X7R 0402</t>
  </si>
  <si>
    <t>296-14273-1-ND</t>
  </si>
  <si>
    <t>CD4052BPWR</t>
  </si>
  <si>
    <t>IC SWITCH SP4TX2 240OHM 16TSSOP</t>
  </si>
  <si>
    <t>https://www.digikey.com/en/products/detail/texas-instruments/CD4052BPWR/528370?s=N4IgTCBcDa4JwDYC0BGALGA7AZlUgcgCIgC6AvkA</t>
  </si>
  <si>
    <t>587-2400-1-ND</t>
  </si>
  <si>
    <t>UMK107BJ105KA-T</t>
  </si>
  <si>
    <t>CAP CER 1UF 50V X5R 0603</t>
  </si>
  <si>
    <t>https://www.digikey.com/en/products/detail/taiyo-yuden/UMK107BJ105KA-T/2178919?s=N4IgTCBcDaIKwA4DsBaMAWADJlBGFAcgCIgC6AvkA</t>
  </si>
  <si>
    <t>296-11993-1-ND</t>
  </si>
  <si>
    <t>CD4051BPWR</t>
  </si>
  <si>
    <t>IC MUX 8:1 240OHM 16TSSOP</t>
  </si>
  <si>
    <t>https://www.digikey.com/en/products/detail/texas-instruments/CD4051BPWR/390443?s=N4IgTCBcDa4JwDYC0BGFc4GZVIHIBEQBdAXyA</t>
  </si>
  <si>
    <t>296-19547-1-ND</t>
  </si>
  <si>
    <t>OPA333AIDCKR</t>
  </si>
  <si>
    <t>IC OPAMP ZERO-DRIFT 1CIRC SC70-5</t>
  </si>
  <si>
    <t>https://www.digikey.com/en/products/detail/texas-instruments/OPA333AIDCKR/1004601?s=N4IgTCBcDa4JwDYC0BGOBWALAdlUgcgCIgC6AvkA</t>
  </si>
  <si>
    <t>296-16859-5-ND</t>
  </si>
  <si>
    <t>OPA380AID</t>
  </si>
  <si>
    <t>IC TRANSIMPEDANCE 1 CIRC 8SOIC</t>
  </si>
  <si>
    <t>https://www.digikey.com/en/products/detail/texas-instruments/OPA380AID/639560?s=N4IgTCBcDa4JwDYC0BGBAOArHJmkDkAREAXQF8g</t>
  </si>
  <si>
    <t>5399-AMS1117-3.3SOT-223CT-ND</t>
  </si>
  <si>
    <t>AMS1117-3.3 SOT-223</t>
  </si>
  <si>
    <t>IC REG LINEAR 3.3V 1A SOT-223</t>
  </si>
  <si>
    <t>https://www.digikey.com/en/products/detail/shenzhen-slkormicro-semicon-co-ltd/AMS1117-3-3-SOT-223/21853079?s=N4IgTCBcDaIKwGYCcSC0BBAsgZQIz4HZUEA6BbAeQBVUwwEBhGgOQBEQBdAXyA</t>
  </si>
  <si>
    <t>VSMY3850-GS08CT-ND</t>
  </si>
  <si>
    <t>VSMY3850-GS08</t>
  </si>
  <si>
    <t>EMITTER IR 850NM 100MA SMD</t>
  </si>
  <si>
    <t>https://www.digikey.com/en/products/detail/vishay-semiconductor-opto-division/VSMY3850-GS08/2615285</t>
  </si>
  <si>
    <t>475-SFH4253-RCT-ND</t>
  </si>
  <si>
    <t>SFH 4253-R</t>
  </si>
  <si>
    <t>TOPLED 860m</t>
  </si>
  <si>
    <t>https://www.digikey.com/en/products/detail/ams-osram-usa-inc/SFH-4253-R/7325561</t>
  </si>
  <si>
    <t>732-150283FS73103CT-ND</t>
  </si>
  <si>
    <t>150283FS73103</t>
  </si>
  <si>
    <t>LED IR 730NM 3528</t>
  </si>
  <si>
    <t>https://www.digikey.com/en/products/detail/w%C3%BCrth-elektronik/150283FS73103/12375059?s=N4IgTCBcDaIOwGYwFoCMBWADGAHAgYgMqKqYIDCAKsgHIAiIAugL5A</t>
  </si>
  <si>
    <t>MAX30102EFD+TCT-ND</t>
  </si>
  <si>
    <t>MAX30102EFD+T</t>
  </si>
  <si>
    <t>SENSOR - OXIMETER/HEART RATE I2C</t>
  </si>
  <si>
    <t>https://www.digikey.com/en/products/detail/analog-devices-inc-maxim-integrated/MAX30102EFD-T/6188734</t>
  </si>
  <si>
    <t>BILL OF MATERIALS</t>
  </si>
  <si>
    <t>Remaining in storage</t>
  </si>
  <si>
    <t>Quant.</t>
  </si>
  <si>
    <t>Price per Unit ($)</t>
  </si>
  <si>
    <t>Total Price ($)</t>
  </si>
  <si>
    <t>status</t>
  </si>
  <si>
    <t>Category</t>
  </si>
  <si>
    <t>Sub-System</t>
  </si>
  <si>
    <t>System</t>
  </si>
  <si>
    <t>Name</t>
  </si>
  <si>
    <t>Quant</t>
  </si>
  <si>
    <t>Ordering</t>
  </si>
  <si>
    <t>IC</t>
  </si>
  <si>
    <t>DDS</t>
  </si>
  <si>
    <t>EIM</t>
  </si>
  <si>
    <t xml:space="preserve">Gain/Phase </t>
  </si>
  <si>
    <t>uC</t>
  </si>
  <si>
    <t>MCU</t>
  </si>
  <si>
    <t>Diff-to-Single</t>
  </si>
  <si>
    <t>Resistor</t>
  </si>
  <si>
    <t>Capacitor</t>
  </si>
  <si>
    <t>Filter Driver</t>
  </si>
  <si>
    <t>Inductor</t>
  </si>
  <si>
    <t>Ocsillator</t>
  </si>
  <si>
    <t>1801-SS24CT-ND</t>
  </si>
  <si>
    <t>SS24</t>
  </si>
  <si>
    <t>DIODE SCHOTTKY 40V 2A DO214AA</t>
  </si>
  <si>
    <t>https://www.digikey.sg/en/products/detail/taiwan-semiconductor-corporation/SS24/7369395?s=N4IgTCBcDaIIwA4AMcC0BldYAsAVASqgHIAiIAugL5A</t>
  </si>
  <si>
    <t>New</t>
  </si>
  <si>
    <t>Diode</t>
  </si>
  <si>
    <t>490-5313-1-ND</t>
  </si>
  <si>
    <t>GRM32ER71E226KE15L</t>
  </si>
  <si>
    <t>CAP CER 22UF 25V X7R 1210</t>
  </si>
  <si>
    <t>https://www.digikey.sg/en/products/detail/murata-electronics/grm32er71e226ke15l/2039040</t>
  </si>
  <si>
    <t>490-10700-1-ND</t>
  </si>
  <si>
    <t>https://www.digikey.sg/en/products/detail/murata-electronics/grm155r71h104ke14d/4906220</t>
  </si>
  <si>
    <t>505-ADP5070AREZ-ND</t>
  </si>
  <si>
    <t>ADP5070AREZ</t>
  </si>
  <si>
    <t>IC REG BST SEPIC ADJ DL 20TSSOP</t>
  </si>
  <si>
    <t>https://www.digikey.sg/en/products/detail/analog-devices-inc/ADP5070AREZ/5408965?s=N4IgTCBcDaIKwAY4FoCCARACog7A1ASgKIBayAcuiALoC%2BQA</t>
  </si>
  <si>
    <t>DFLS240-7DICT-ND</t>
  </si>
  <si>
    <t>DFLS240-7</t>
  </si>
  <si>
    <t>DIODE SCHOTTK 40V 2A POWERDI 123</t>
  </si>
  <si>
    <t>https://www.digikey.sg/en/products/detail/diodes-incorporated/DFLS240-7/1934953</t>
  </si>
  <si>
    <t>1712-CPF0603B604KE1CT-ND</t>
  </si>
  <si>
    <t>CPF0603B604KE1</t>
  </si>
  <si>
    <t>RES 604 KOHM 0.1% 1/16W 0603</t>
  </si>
  <si>
    <t>https://www.digikey.sg/en/products/detail/te-connectivity-passive-product/CPF0603B604KE1/7493601?s=N4IgTCBcDaIIwHY5gLQGEAKAxADANhwGYAhAgFgGkBROAFQCUUA5AERAF0BfIA</t>
  </si>
  <si>
    <t>311-100KHRCT-ND</t>
  </si>
  <si>
    <t>RC0603FR-07100KL</t>
  </si>
  <si>
    <t>RES 100K OHM 1% 1/10W 0603</t>
  </si>
  <si>
    <t>https://www.digikey.sg/en/products/detail/vishay-dale/TNPW0603100KBEEN/1610202?s=N4IgTCBcDaIKwBYCMBaAzHAbAThWFAcgCIgC6AvkA</t>
  </si>
  <si>
    <t>311-649KHRCT-ND</t>
  </si>
  <si>
    <t>RC0603FR-07649KL</t>
  </si>
  <si>
    <t>RES 649K OHM 1% 1/10W 0603</t>
  </si>
  <si>
    <t>https://www.digikey.sg/en/products/detail/yageo/rc0603fr-07649kl/727346</t>
  </si>
  <si>
    <t>490-3886-1-ND</t>
  </si>
  <si>
    <t>GRM21BR61C106KE15L</t>
  </si>
  <si>
    <t>CAP CER 10UF 16V X5R 0805</t>
  </si>
  <si>
    <t>https://www.digikey.sg/en/products/detail/murata-electronics/GRM21BR61C106KE15L/965900</t>
  </si>
  <si>
    <t>311-12.0KHRCT-ND</t>
  </si>
  <si>
    <t>RC0603FR-0712KL</t>
  </si>
  <si>
    <t>RES 12K OHM 1% 1/10W 0603</t>
  </si>
  <si>
    <t>https://www.digikey.sg/en/products/detail/yageo/rc0603fr-0712kl/726913</t>
  </si>
  <si>
    <t>490-5854-1-ND</t>
  </si>
  <si>
    <t>GCJ188R71H473KA12D</t>
  </si>
  <si>
    <t>CAP CER 0.047UF 50V X7R 0603</t>
  </si>
  <si>
    <t>https://www.digikey.sg/en/products/detail/murata-electronics/GCJ188R71H473KA12D/2785873?s=N4IgTCBcDaICwE4AMBaArADjXFYUDkAREAXQF8g</t>
  </si>
  <si>
    <t>311-15.0KHRCT-ND</t>
  </si>
  <si>
    <t>RC0603FR-0715KL</t>
  </si>
  <si>
    <t>RES 15K OHM 1% 1/10W 0603</t>
  </si>
  <si>
    <t>https://www.digikey.sg/en/products/detail/yageo/RC0603FR-0715KL/726953?s=N4IgTCBcDaIMwEYEFoEFYB0AGA0gCQCUAVA5AOQBEQBdAXyA</t>
  </si>
  <si>
    <t>490-5799-1-ND</t>
  </si>
  <si>
    <t>GCJ188R71H683KA12D</t>
  </si>
  <si>
    <t>CAP CER 0.068UF 50V X7R 0603</t>
  </si>
  <si>
    <t>https://www.digikey.sg/en/products/detail/murata-electronics/gcj188r71h683ka12d/2783812</t>
  </si>
  <si>
    <t>490-1427-1-ND</t>
  </si>
  <si>
    <t>GRM1885C1H101JA01D</t>
  </si>
  <si>
    <t>CAP CER 100PF 50V C0G/NP0 0603</t>
  </si>
  <si>
    <t>https://www.digikey.sg/en/products/detail/murata-electronics/grm1885c1h101ja01d/586921</t>
  </si>
  <si>
    <t>505-ADP7142AUJZ-5.0-R7CT-ND</t>
  </si>
  <si>
    <t>ADP7142AUJZ-5.0-R7</t>
  </si>
  <si>
    <t>IC REG LINEAR 5V 200MA TSOT-23-5</t>
  </si>
  <si>
    <t>https://www.digikey.sg/en/products/detail/analog-devices-inc/adp7142aujz-5-0-r7/5056896</t>
  </si>
  <si>
    <t>505-ADP7182AUJZ-5.0-R7CT-ND</t>
  </si>
  <si>
    <t>ADP7182AUJZ-5.0-R7</t>
  </si>
  <si>
    <t>IC REG LINEAR -5V 200MA TSOT-23-5</t>
  </si>
  <si>
    <t>https://www.digikey.sg/en/products/detail/analog-devices-inc/adp7182aujz-5-0-r7/4901224</t>
  </si>
  <si>
    <t>296-TPS7A2033PDBVRCT-ND</t>
  </si>
  <si>
    <t>TPS7A2033PDBVR</t>
  </si>
  <si>
    <t>IC REG LINEAR 3.3V 300MA SOT23-5</t>
  </si>
  <si>
    <t>https://www.digikey.sg/en/products/detail/texas-instruments/tps7a2033pdbvr/13566866</t>
  </si>
  <si>
    <t>for DDS</t>
  </si>
  <si>
    <t>IC REG LINEAR 3.3V 500MA SOT23-5</t>
  </si>
  <si>
    <t>https://www.digikey.sg/en/products/detail/texas-instruments/tlv75533pdbvr/9356541</t>
  </si>
  <si>
    <t>for uC</t>
  </si>
  <si>
    <t>490-5258-1-ND</t>
  </si>
  <si>
    <t>BLM18KG601SN1D</t>
  </si>
  <si>
    <t>FERRITE BEAD 600 OHM 0603 1LN</t>
  </si>
  <si>
    <t>https://www.digikey.sg/en/products/detail/murata-electronics/blm18kg601sn1d/1982766</t>
  </si>
  <si>
    <t>490-1543-1-ND</t>
  </si>
  <si>
    <t>GRM188R61A105KA61D</t>
  </si>
  <si>
    <t>CAP CER 1UF 10V X5R 0603</t>
  </si>
  <si>
    <t>https://www.digikey.sg/en/products/detail/murata-electronics/GRM188R61A105KA61D/587071?s=N4IgTCBcDaICwE4AMBaAjAVjgZhWFAcgCIgC6AvkA</t>
  </si>
  <si>
    <t>Value</t>
  </si>
  <si>
    <t>Unit</t>
  </si>
  <si>
    <t>Package</t>
  </si>
  <si>
    <r>
      <t>Ohm (</t>
    </r>
    <r>
      <rPr>
        <b/>
        <sz val="11"/>
        <color theme="1"/>
        <rFont val="Aptos Narrow"/>
        <family val="2"/>
        <scheme val="minor"/>
      </rPr>
      <t>Ω</t>
    </r>
    <r>
      <rPr>
        <sz val="11"/>
        <color theme="1"/>
        <rFont val="Aptos Narrow"/>
        <family val="2"/>
        <scheme val="minor"/>
      </rPr>
      <t>)</t>
    </r>
  </si>
  <si>
    <t>541-2.61KHCT-ND</t>
  </si>
  <si>
    <t>CRCW06032K61FKEA</t>
  </si>
  <si>
    <t>RES SMD 2.61K OHM 1% 1/8W 0603</t>
  </si>
  <si>
    <t>2K61</t>
  </si>
  <si>
    <t>15K</t>
  </si>
  <si>
    <t>12K</t>
  </si>
  <si>
    <t>649K</t>
  </si>
  <si>
    <t>100K</t>
  </si>
  <si>
    <t>10K</t>
  </si>
  <si>
    <t>2K70</t>
  </si>
  <si>
    <t>1K78</t>
  </si>
  <si>
    <t>6K8</t>
  </si>
  <si>
    <t>https://www.digikey.com/en/products/detail/vishay-dale/CRCW06032K61FKEA/1174713</t>
  </si>
  <si>
    <t>20pF</t>
  </si>
  <si>
    <t>0.1uF</t>
  </si>
  <si>
    <t>1uF</t>
  </si>
  <si>
    <t>1pF</t>
  </si>
  <si>
    <t>2.2uF</t>
  </si>
  <si>
    <t>180pF</t>
  </si>
  <si>
    <t>300pF</t>
  </si>
  <si>
    <t>330pF</t>
  </si>
  <si>
    <t>270pF</t>
  </si>
  <si>
    <t>47pF</t>
  </si>
  <si>
    <t>10000pF</t>
  </si>
  <si>
    <t>22uF</t>
  </si>
  <si>
    <t>10uF</t>
  </si>
  <si>
    <t>100pF</t>
  </si>
  <si>
    <t>0.04uF</t>
  </si>
  <si>
    <t>0.68uF</t>
  </si>
  <si>
    <t>Farad (F)</t>
  </si>
  <si>
    <t>399-C0402C151K5RACTUCT-ND</t>
  </si>
  <si>
    <t>C0402C151K5RACTU</t>
  </si>
  <si>
    <t>CAP CER 150PF 50V X7R 0402</t>
  </si>
  <si>
    <t>https://www.digikey.com/en/products/detail/kemet/C0402C151K5RACTU/1933627</t>
  </si>
  <si>
    <t>150pF</t>
  </si>
  <si>
    <t>1276-1070-1-ND</t>
  </si>
  <si>
    <t>CL10C330JB8NNNC</t>
  </si>
  <si>
    <t>CAP CER 33PF 50V C0G/NP0 0603</t>
  </si>
  <si>
    <t>https://www.digikey.com/en/products/detail/samsung-electro-mechanics/CL10C330JB8NNNC/3886728</t>
  </si>
  <si>
    <t>33pF</t>
  </si>
  <si>
    <t>NIR</t>
  </si>
  <si>
    <t>Next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</si>
</sst>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&quot;$&quot;#,##0.000_);[Red]\(&quot;$&quot;#,##0.000\)"/>
    <numFmt numFmtId="165" formatCode="&quot;$&quot;#,##0.0000_);[Red]\(&quot;$&quot;#,##0.0000\)"/>
    <numFmt numFmtId="166" formatCode="[$VND]\ #,##0_);[Red]\([$VND]\ #,##0\)"/>
    <numFmt numFmtId="167" formatCode="[$¥-804]#,##0;[Red][$¥-804]\-#,##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 tint="0.79998168889431442"/>
        <bgColor indexed="65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</cellStyleXfs>
  <cellXfs count="94">
    <xf numFmtId="0" fontId="0" fillId="0" borderId="0" xfId="0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0" fontId="2" fillId="0" borderId="1" xfId="1" applyBorder="1"/>
    <xf numFmtId="0" fontId="5" fillId="2" borderId="1" xfId="0" applyFont="1" applyFill="1" applyBorder="1" applyAlignment="1">
      <alignment horizontal="center" vertical="center" wrapText="1"/>
    </xf>
    <xf numFmtId="8" fontId="0" fillId="0" borderId="1" xfId="0" applyNumberFormat="1" applyBorder="1"/>
    <xf numFmtId="0" fontId="0" fillId="3" borderId="1" xfId="0" applyFill="1" applyBorder="1"/>
    <xf numFmtId="165" fontId="0" fillId="3" borderId="1" xfId="0" applyNumberFormat="1" applyFill="1" applyBorder="1"/>
    <xf numFmtId="8" fontId="0" fillId="3" borderId="1" xfId="0" applyNumberFormat="1" applyFill="1" applyBorder="1"/>
    <xf numFmtId="166" fontId="0" fillId="3" borderId="1" xfId="0" applyNumberFormat="1" applyFill="1" applyBorder="1"/>
    <xf numFmtId="0" fontId="2" fillId="3" borderId="1" xfId="1" applyFill="1" applyBorder="1"/>
    <xf numFmtId="0" fontId="1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/>
    <xf numFmtId="0" fontId="0" fillId="0" borderId="1" xfId="0" applyBorder="1" applyAlignment="1">
      <alignment vertical="center"/>
    </xf>
    <xf numFmtId="0" fontId="0" fillId="0" borderId="2" xfId="0" applyBorder="1"/>
    <xf numFmtId="166" fontId="0" fillId="0" borderId="2" xfId="0" applyNumberFormat="1" applyBorder="1"/>
    <xf numFmtId="167" fontId="0" fillId="0" borderId="1" xfId="0" applyNumberFormat="1" applyBorder="1"/>
    <xf numFmtId="164" fontId="0" fillId="0" borderId="1" xfId="0" applyNumberFormat="1" applyBorder="1"/>
    <xf numFmtId="0" fontId="3" fillId="0" borderId="1" xfId="0" applyFont="1" applyBorder="1"/>
    <xf numFmtId="0" fontId="0" fillId="3" borderId="1" xfId="0" applyFill="1" applyBorder="1" applyAlignment="1">
      <alignment vertical="center"/>
    </xf>
    <xf numFmtId="166" fontId="0" fillId="0" borderId="1" xfId="0" applyNumberFormat="1" applyBorder="1" applyAlignment="1">
      <alignment horizontal="right"/>
    </xf>
    <xf numFmtId="0" fontId="1" fillId="4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 vertical="center" wrapText="1"/>
    </xf>
    <xf numFmtId="0" fontId="2" fillId="0" borderId="4" xfId="1" applyBorder="1"/>
    <xf numFmtId="0" fontId="1" fillId="0" borderId="2" xfId="0" applyFont="1" applyBorder="1"/>
    <xf numFmtId="0" fontId="0" fillId="0" borderId="3" xfId="0" applyBorder="1"/>
    <xf numFmtId="0" fontId="1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5" fontId="0" fillId="0" borderId="3" xfId="0" applyNumberFormat="1" applyBorder="1"/>
    <xf numFmtId="166" fontId="0" fillId="0" borderId="3" xfId="0" applyNumberFormat="1" applyBorder="1"/>
    <xf numFmtId="0" fontId="2" fillId="0" borderId="3" xfId="1" applyBorder="1"/>
    <xf numFmtId="8" fontId="0" fillId="0" borderId="3" xfId="0" applyNumberFormat="1" applyBorder="1"/>
    <xf numFmtId="165" fontId="0" fillId="3" borderId="3" xfId="0" applyNumberFormat="1" applyFill="1" applyBorder="1"/>
    <xf numFmtId="8" fontId="0" fillId="3" borderId="3" xfId="0" applyNumberFormat="1" applyFill="1" applyBorder="1"/>
    <xf numFmtId="166" fontId="0" fillId="3" borderId="3" xfId="0" applyNumberFormat="1" applyFill="1" applyBorder="1"/>
    <xf numFmtId="0" fontId="2" fillId="3" borderId="3" xfId="1" applyFill="1" applyBorder="1"/>
    <xf numFmtId="0" fontId="0" fillId="3" borderId="3" xfId="0" applyFill="1" applyBorder="1"/>
    <xf numFmtId="0" fontId="6" fillId="5" borderId="3" xfId="0" applyFont="1" applyFill="1" applyBorder="1"/>
    <xf numFmtId="165" fontId="6" fillId="5" borderId="3" xfId="0" applyNumberFormat="1" applyFont="1" applyFill="1" applyBorder="1"/>
    <xf numFmtId="8" fontId="6" fillId="5" borderId="3" xfId="0" applyNumberFormat="1" applyFont="1" applyFill="1" applyBorder="1"/>
    <xf numFmtId="166" fontId="6" fillId="5" borderId="3" xfId="0" applyNumberFormat="1" applyFont="1" applyFill="1" applyBorder="1"/>
    <xf numFmtId="0" fontId="7" fillId="5" borderId="3" xfId="1" applyFont="1" applyFill="1" applyBorder="1"/>
    <xf numFmtId="0" fontId="0" fillId="5" borderId="1" xfId="0" applyFill="1" applyBorder="1"/>
    <xf numFmtId="165" fontId="6" fillId="5" borderId="1" xfId="0" applyNumberFormat="1" applyFont="1" applyFill="1" applyBorder="1"/>
    <xf numFmtId="8" fontId="6" fillId="5" borderId="1" xfId="0" applyNumberFormat="1" applyFont="1" applyFill="1" applyBorder="1"/>
    <xf numFmtId="166" fontId="6" fillId="5" borderId="1" xfId="0" applyNumberFormat="1" applyFont="1" applyFill="1" applyBorder="1"/>
    <xf numFmtId="0" fontId="2" fillId="5" borderId="1" xfId="1" applyFill="1" applyBorder="1"/>
    <xf numFmtId="0" fontId="0" fillId="5" borderId="2" xfId="0" applyFill="1" applyBorder="1"/>
    <xf numFmtId="165" fontId="6" fillId="5" borderId="2" xfId="0" applyNumberFormat="1" applyFont="1" applyFill="1" applyBorder="1"/>
    <xf numFmtId="8" fontId="6" fillId="5" borderId="2" xfId="0" applyNumberFormat="1" applyFont="1" applyFill="1" applyBorder="1"/>
    <xf numFmtId="166" fontId="6" fillId="5" borderId="2" xfId="0" applyNumberFormat="1" applyFont="1" applyFill="1" applyBorder="1"/>
    <xf numFmtId="0" fontId="0" fillId="5" borderId="3" xfId="0" applyFill="1" applyBorder="1"/>
    <xf numFmtId="0" fontId="6" fillId="5" borderId="5" xfId="0" applyFont="1" applyFill="1" applyBorder="1"/>
    <xf numFmtId="0" fontId="2" fillId="5" borderId="0" xfId="1" applyFill="1"/>
    <xf numFmtId="0" fontId="6" fillId="5" borderId="1" xfId="0" applyFont="1" applyFill="1" applyBorder="1"/>
    <xf numFmtId="0" fontId="0" fillId="0" borderId="6" xfId="0" applyBorder="1"/>
    <xf numFmtId="0" fontId="0" fillId="5" borderId="4" xfId="0" applyFill="1" applyBorder="1"/>
    <xf numFmtId="0" fontId="0" fillId="5" borderId="8" xfId="0" applyFill="1" applyBorder="1"/>
    <xf numFmtId="0" fontId="6" fillId="6" borderId="3" xfId="0" applyFont="1" applyFill="1" applyBorder="1"/>
    <xf numFmtId="165" fontId="6" fillId="6" borderId="3" xfId="0" applyNumberFormat="1" applyFont="1" applyFill="1" applyBorder="1"/>
    <xf numFmtId="8" fontId="6" fillId="6" borderId="3" xfId="0" applyNumberFormat="1" applyFont="1" applyFill="1" applyBorder="1"/>
    <xf numFmtId="166" fontId="6" fillId="6" borderId="3" xfId="0" applyNumberFormat="1" applyFont="1" applyFill="1" applyBorder="1"/>
    <xf numFmtId="0" fontId="7" fillId="6" borderId="3" xfId="1" applyFont="1" applyFill="1" applyBorder="1"/>
    <xf numFmtId="0" fontId="0" fillId="6" borderId="3" xfId="0" applyFill="1" applyBorder="1"/>
    <xf numFmtId="0" fontId="6" fillId="6" borderId="6" xfId="0" applyFont="1" applyFill="1" applyBorder="1"/>
    <xf numFmtId="0" fontId="6" fillId="6" borderId="5" xfId="0" applyFont="1" applyFill="1" applyBorder="1"/>
    <xf numFmtId="165" fontId="6" fillId="6" borderId="5" xfId="0" applyNumberFormat="1" applyFont="1" applyFill="1" applyBorder="1"/>
    <xf numFmtId="8" fontId="6" fillId="6" borderId="5" xfId="0" applyNumberFormat="1" applyFont="1" applyFill="1" applyBorder="1"/>
    <xf numFmtId="166" fontId="6" fillId="6" borderId="5" xfId="0" applyNumberFormat="1" applyFont="1" applyFill="1" applyBorder="1"/>
    <xf numFmtId="0" fontId="7" fillId="6" borderId="5" xfId="1" applyFont="1" applyFill="1" applyBorder="1"/>
    <xf numFmtId="0" fontId="6" fillId="6" borderId="7" xfId="0" applyFont="1" applyFill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right"/>
    </xf>
    <xf numFmtId="0" fontId="6" fillId="6" borderId="6" xfId="0" applyFont="1" applyFill="1" applyBorder="1" applyAlignment="1">
      <alignment horizontal="right"/>
    </xf>
    <xf numFmtId="0" fontId="6" fillId="6" borderId="7" xfId="0" applyFont="1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0" fontId="0" fillId="5" borderId="4" xfId="0" applyFill="1" applyBorder="1" applyAlignment="1">
      <alignment horizontal="left"/>
    </xf>
    <xf numFmtId="0" fontId="8" fillId="8" borderId="1" xfId="3" applyBorder="1" applyAlignment="1">
      <alignment horizontal="center" vertical="center"/>
    </xf>
    <xf numFmtId="0" fontId="6" fillId="3" borderId="1" xfId="0" applyFont="1" applyFill="1" applyBorder="1"/>
    <xf numFmtId="165" fontId="6" fillId="3" borderId="1" xfId="0" applyNumberFormat="1" applyFont="1" applyFill="1" applyBorder="1"/>
    <xf numFmtId="8" fontId="6" fillId="3" borderId="1" xfId="0" applyNumberFormat="1" applyFont="1" applyFill="1" applyBorder="1"/>
    <xf numFmtId="166" fontId="6" fillId="3" borderId="1" xfId="0" applyNumberFormat="1" applyFont="1" applyFill="1" applyBorder="1"/>
    <xf numFmtId="0" fontId="0" fillId="3" borderId="4" xfId="0" applyFill="1" applyBorder="1" applyAlignment="1">
      <alignment horizontal="right"/>
    </xf>
    <xf numFmtId="0" fontId="0" fillId="3" borderId="4" xfId="0" applyFill="1" applyBorder="1" applyAlignment="1">
      <alignment horizontal="left"/>
    </xf>
    <xf numFmtId="0" fontId="0" fillId="3" borderId="4" xfId="0" applyFill="1" applyBorder="1"/>
    <xf numFmtId="0" fontId="1" fillId="3" borderId="1" xfId="0" applyFont="1" applyFill="1" applyBorder="1"/>
    <xf numFmtId="0" fontId="8" fillId="7" borderId="1" xfId="2" applyBorder="1" applyAlignment="1">
      <alignment horizontal="center" vertical="center"/>
    </xf>
  </cellXfs>
  <cellStyles count="4">
    <cellStyle name="20% - Accent5" xfId="3" builtinId="46"/>
    <cellStyle name="40% - Accent1" xfId="2" builtinId="31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urata-electronics/GRM188R72A103KA01D/3845635" TargetMode="External"/><Relationship Id="rId13" Type="http://schemas.openxmlformats.org/officeDocument/2006/relationships/hyperlink" Target="https://www.digikey.com/en/products/detail/analog-devices-inc/ad8014arz/620459" TargetMode="External"/><Relationship Id="rId18" Type="http://schemas.openxmlformats.org/officeDocument/2006/relationships/hyperlink" Target="https://www.digikey.com/en/products/detail/texas-instruments/TLV75533PDBVR/9356541" TargetMode="External"/><Relationship Id="rId3" Type="http://schemas.openxmlformats.org/officeDocument/2006/relationships/hyperlink" Target="https://www.digikey.com/en/products/detail/analog-devices-inc/AD9834BRUZ-REEL7/994992" TargetMode="External"/><Relationship Id="rId21" Type="http://schemas.openxmlformats.org/officeDocument/2006/relationships/hyperlink" Target="https://www.digikey.com/en/products/detail/nexperia-usa-inc/PESD5V2S2UT-215/1157475" TargetMode="External"/><Relationship Id="rId7" Type="http://schemas.openxmlformats.org/officeDocument/2006/relationships/hyperlink" Target="https://www.digikey.com/en/products/detail/murata-electronics/GRM188R72A104KA35D/702826" TargetMode="External"/><Relationship Id="rId12" Type="http://schemas.openxmlformats.org/officeDocument/2006/relationships/hyperlink" Target="https://www.digikey.com/en/products/detail/panasonic-electronic-components/ERJ-3EKF49R9V/196378" TargetMode="External"/><Relationship Id="rId17" Type="http://schemas.openxmlformats.org/officeDocument/2006/relationships/hyperlink" Target="https://www.digikey.com/en/products/detail/abracon-llc/ASDMB-75-000MHZ-LY-T/2624314" TargetMode="External"/><Relationship Id="rId2" Type="http://schemas.openxmlformats.org/officeDocument/2006/relationships/hyperlink" Target="https://www.digikey.com/en/products/detail/analog-devices-inc/AD8302ARUZ/671074" TargetMode="External"/><Relationship Id="rId16" Type="http://schemas.openxmlformats.org/officeDocument/2006/relationships/hyperlink" Target="https://www.digikey.com/en/products/detail/murata-electronics/LQW18ANR47J00D/584392" TargetMode="External"/><Relationship Id="rId20" Type="http://schemas.openxmlformats.org/officeDocument/2006/relationships/hyperlink" Target="https://www.digikey.com/en/products/detail/diotec-semiconductor/SMF5-0A/13163545" TargetMode="External"/><Relationship Id="rId1" Type="http://schemas.openxmlformats.org/officeDocument/2006/relationships/hyperlink" Target="https://www.digikey.com/en/products/detail/ams-osram-usa-inc/BPW34/607274" TargetMode="External"/><Relationship Id="rId6" Type="http://schemas.openxmlformats.org/officeDocument/2006/relationships/hyperlink" Target="https://www.digikey.com/en/products/detail/murata-electronics/GRM1885C1H470JA01D/586904" TargetMode="External"/><Relationship Id="rId11" Type="http://schemas.openxmlformats.org/officeDocument/2006/relationships/hyperlink" Target="https://www.digikey.com/en/products/detail/murata-electronics/grm1885c1h271ja01j/2611130" TargetMode="External"/><Relationship Id="rId5" Type="http://schemas.openxmlformats.org/officeDocument/2006/relationships/hyperlink" Target="https://www.digikey.com/en/products/detail/analog-devices-inc/AD8130ARMZ-REEL/994072" TargetMode="External"/><Relationship Id="rId15" Type="http://schemas.openxmlformats.org/officeDocument/2006/relationships/hyperlink" Target="https://www.digikey.com/en/products/detail/murata-electronics/LQW18ANR39J00D/584391" TargetMode="External"/><Relationship Id="rId10" Type="http://schemas.openxmlformats.org/officeDocument/2006/relationships/hyperlink" Target="https://www.digikey.com/en/products/detail/murata-electronics/grm1885c1h331ja01j/2611160" TargetMode="External"/><Relationship Id="rId19" Type="http://schemas.openxmlformats.org/officeDocument/2006/relationships/hyperlink" Target="https://www.digikey.com/en/products/detail/littelfuse-inc/1206L050-15YR/1211396" TargetMode="External"/><Relationship Id="rId4" Type="http://schemas.openxmlformats.org/officeDocument/2006/relationships/hyperlink" Target="https://www.digikey.com/en/products/detail/stmicroelectronics/STM32F411RET6/4935722" TargetMode="External"/><Relationship Id="rId9" Type="http://schemas.openxmlformats.org/officeDocument/2006/relationships/hyperlink" Target="https://www.digikey.com/en/products/detail/murata-electronics/grm1885c1h301ja01d/586964" TargetMode="External"/><Relationship Id="rId14" Type="http://schemas.openxmlformats.org/officeDocument/2006/relationships/hyperlink" Target="https://www.digikey.com/en/products/detail/murata-electronics/LQW18ANR27J00D/584389" TargetMode="External"/><Relationship Id="rId2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vishay-dale/tnpw0603280rbeea/1606702" TargetMode="External"/><Relationship Id="rId13" Type="http://schemas.openxmlformats.org/officeDocument/2006/relationships/hyperlink" Target="https://www.digikey.com/en/products/detail/vishay-dale/tnpw06031k78beea/1606793" TargetMode="External"/><Relationship Id="rId18" Type="http://schemas.openxmlformats.org/officeDocument/2006/relationships/hyperlink" Target="https://www.digikey.com/en/products/detail/vishay-dale/tnpw060310r0beea/1606539" TargetMode="External"/><Relationship Id="rId3" Type="http://schemas.openxmlformats.org/officeDocument/2006/relationships/hyperlink" Target="https://www.digikey.com/en/products/detail/adafruit-industries-llc/1731/6238161" TargetMode="External"/><Relationship Id="rId21" Type="http://schemas.openxmlformats.org/officeDocument/2006/relationships/hyperlink" Target="https://www.digikey.com/en/products/detail/kemet/C0603C105K3RACTU/3317410" TargetMode="External"/><Relationship Id="rId7" Type="http://schemas.openxmlformats.org/officeDocument/2006/relationships/hyperlink" Target="https://www.digikey.com/en/products/detail/vishay-dale/TNPW0603200RBEEA/1606685?s=N4IgTCBcDaICoDkAKB1ADANjQZjGtASgEICiJAgiALoC%2BQA" TargetMode="External"/><Relationship Id="rId12" Type="http://schemas.openxmlformats.org/officeDocument/2006/relationships/hyperlink" Target="https://www.digikey.com/en/products/detail/vishay-dale/tnpw0603499rbeea/1606732" TargetMode="External"/><Relationship Id="rId17" Type="http://schemas.openxmlformats.org/officeDocument/2006/relationships/hyperlink" Target="https://www.digikey.com/en/products/detail/yageo/rc0603fr-0710kl/726880" TargetMode="External"/><Relationship Id="rId2" Type="http://schemas.openxmlformats.org/officeDocument/2006/relationships/hyperlink" Target="https://www.digikey.com/en/products/detail/adafruit-industries-llc/2144/6238162" TargetMode="External"/><Relationship Id="rId16" Type="http://schemas.openxmlformats.org/officeDocument/2006/relationships/hyperlink" Target="https://www.digikey.com/en/products/detail/yageo/rc0603fr-0751rl/727281" TargetMode="External"/><Relationship Id="rId20" Type="http://schemas.openxmlformats.org/officeDocument/2006/relationships/hyperlink" Target="https://www.digikey.com/en/products/detail/kemet/C0603C104K5RACTU/1465594" TargetMode="External"/><Relationship Id="rId1" Type="http://schemas.openxmlformats.org/officeDocument/2006/relationships/hyperlink" Target="https://www.digikey.com/en/products/detail/raspberry-pi/SC0875/17278642" TargetMode="External"/><Relationship Id="rId6" Type="http://schemas.openxmlformats.org/officeDocument/2006/relationships/hyperlink" Target="https://www.digikey.com/en/products/detail/vishay-dale/TNPW06036K80BEEA/1606862?s=N4IgTCBcDaICoDkAKB1ADANjQZgwaQA40AhAUVIEEQBdAXyA" TargetMode="External"/><Relationship Id="rId11" Type="http://schemas.openxmlformats.org/officeDocument/2006/relationships/hyperlink" Target="https://www.digikey.com/en/products/detail/yageo/RC0603JR-070RL/726675?s=N4IgTCBcDaIEoGEAMA2JBmAUnAtEg7EnADIgC6AvkA" TargetMode="External"/><Relationship Id="rId24" Type="http://schemas.openxmlformats.org/officeDocument/2006/relationships/hyperlink" Target="https://www.digikey.com/en/products/detail/murata-electronics/grm1885c1h181ja01j/2611094" TargetMode="External"/><Relationship Id="rId5" Type="http://schemas.openxmlformats.org/officeDocument/2006/relationships/hyperlink" Target="https://www.digikey.com/en/products/detail/raspberry-pi/SC1732/26241093" TargetMode="External"/><Relationship Id="rId15" Type="http://schemas.openxmlformats.org/officeDocument/2006/relationships/hyperlink" Target="https://www.digikey.com/en/products/detail/yageo-america/rc0603fr-072k67l/22283163" TargetMode="External"/><Relationship Id="rId23" Type="http://schemas.openxmlformats.org/officeDocument/2006/relationships/hyperlink" Target="https://www.digikey.com/en/products/detail/yageo/CC0805KKX5R9BB225/5195775" TargetMode="External"/><Relationship Id="rId10" Type="http://schemas.openxmlformats.org/officeDocument/2006/relationships/hyperlink" Target="https://www.digikey.com/en/products/detail/vishay-dale/TNPW06031K00BEEA/1606767?s=N4IgTCBcDaICoDkAKBGAdABgwaQIK7gCUBaBAERAF0BfIA" TargetMode="External"/><Relationship Id="rId19" Type="http://schemas.openxmlformats.org/officeDocument/2006/relationships/hyperlink" Target="https://www.digikey.com/en/products/detail/murata-electronics/GRM1885C1H200JA01D/586920" TargetMode="External"/><Relationship Id="rId4" Type="http://schemas.openxmlformats.org/officeDocument/2006/relationships/hyperlink" Target="https://www.digikey.com/en/products/detail/arducam/B0305/19116505?s=N4IgTCBcDaIDoBcAEAWAbAdgJwFoBCADAMwECsOAcgCIgC6AvkA" TargetMode="External"/><Relationship Id="rId9" Type="http://schemas.openxmlformats.org/officeDocument/2006/relationships/hyperlink" Target="https://www.digikey.com/en/products/detail/yageo/RC0603FR-0722RL/727055?s=N4IgTCBcDaIEoGEAMA2JBmAYnAtEg7GGHADIgC6AvkA" TargetMode="External"/><Relationship Id="rId14" Type="http://schemas.openxmlformats.org/officeDocument/2006/relationships/hyperlink" Target="https://www.digikey.com/en/products/detail/yageo/rc0603fr-07510rl/727285" TargetMode="External"/><Relationship Id="rId22" Type="http://schemas.openxmlformats.org/officeDocument/2006/relationships/hyperlink" Target="https://www.digikey.com/en/products/detail/murata-electronics/grm1555c1h1r0wa01j/4904825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amsung-electro-mechanics/RC1005F103CS/3903439?s=N4IgTCBcDaIIxgOwDYC0BmALOurcDkAREAXQF8g" TargetMode="External"/><Relationship Id="rId13" Type="http://schemas.openxmlformats.org/officeDocument/2006/relationships/hyperlink" Target="https://www.digikey.com/en/products/detail/texas-instruments/CD4052BPWR/528370?s=N4IgTCBcDa4JwDYC0BGALGA7AZlUgcgCIgC6AvkA" TargetMode="External"/><Relationship Id="rId18" Type="http://schemas.openxmlformats.org/officeDocument/2006/relationships/hyperlink" Target="https://www.digikey.com/en/products/detail/shenzhen-slkormicro-semicon-co-ltd/AMS1117-3-3-SOT-223/21853079?s=N4IgTCBcDaIKwGYCcSC0BBAsgZQIz4HZUEA6BbAeQBVUwwEBhGgOQBEQBdAXyA" TargetMode="External"/><Relationship Id="rId3" Type="http://schemas.openxmlformats.org/officeDocument/2006/relationships/hyperlink" Target="https://www.digikey.com/en/products/detail/yageo/RC1206FR-0710RL/728482?s=N4IgTCBcDaIMwEYEFoEAYB0aBiAlAwgCrIByAIiALoC%2BQA" TargetMode="External"/><Relationship Id="rId21" Type="http://schemas.openxmlformats.org/officeDocument/2006/relationships/hyperlink" Target="https://www.digikey.com/en/products/detail/analog-devices-inc-maxim-integrated/MAX30102EFD-T/6188734" TargetMode="External"/><Relationship Id="rId7" Type="http://schemas.openxmlformats.org/officeDocument/2006/relationships/hyperlink" Target="https://www.digikey.com/en/products/detail/yageo/RC0603FR-07330RL/727162?s=N4IgTCBcDaIMwEYEFo5wAwAkBKBhAKsgHIAiIAugL5A" TargetMode="External"/><Relationship Id="rId12" Type="http://schemas.openxmlformats.org/officeDocument/2006/relationships/hyperlink" Target="https://www.digikey.com/en/products/detail/abracon-llc/ABM3-8-000MHZ-D2Y-T/2344570?s=N4IgTCBcDaIKwGY4FoCMAGAbA9bkDkAREAXQF8g" TargetMode="External"/><Relationship Id="rId17" Type="http://schemas.openxmlformats.org/officeDocument/2006/relationships/hyperlink" Target="https://www.digikey.com/en/products/detail/texas-instruments/OPA380AID/639560?s=N4IgTCBcDa4JwDYC0BGBAOArHJmkDkAREAXQF8g" TargetMode="External"/><Relationship Id="rId2" Type="http://schemas.openxmlformats.org/officeDocument/2006/relationships/hyperlink" Target="https://www.digikey.com/en/products/detail/vishay-semiconductor-opto-division/VSMY3850-GS08/2615285" TargetMode="External"/><Relationship Id="rId16" Type="http://schemas.openxmlformats.org/officeDocument/2006/relationships/hyperlink" Target="https://www.digikey.com/en/products/detail/texas-instruments/OPA333AIDCKR/1004601?s=N4IgTCBcDa4JwDYC0BGOBWALAdlUgcgCIgC6AvkA" TargetMode="External"/><Relationship Id="rId20" Type="http://schemas.openxmlformats.org/officeDocument/2006/relationships/hyperlink" Target="https://www.digikey.com/en/products/detail/w%C3%BCrth-elektronik/150283FS73103/12375059?s=N4IgTCBcDaIOwGYwFoCMBWADGAHAgYgMqKqYIDCAKsgHIAiIAugL5A" TargetMode="External"/><Relationship Id="rId1" Type="http://schemas.openxmlformats.org/officeDocument/2006/relationships/hyperlink" Target="https://www.digikey.com/en/products/detail/ams-osram-usa-inc/BPW34/607274" TargetMode="External"/><Relationship Id="rId6" Type="http://schemas.openxmlformats.org/officeDocument/2006/relationships/hyperlink" Target="https://www.digikey.com/en/products/detail/yageo/RC0402JR-071KL/726408?s=N4IgTCBcDaIMwEYEFoEDoAMBpAUgJQGEAVZAOQBEQBdAXyA" TargetMode="External"/><Relationship Id="rId11" Type="http://schemas.openxmlformats.org/officeDocument/2006/relationships/hyperlink" Target="https://www.digikey.com/en/products/detail/abracon-llc/ABM3-8-000MHZ-D2Y-T/2344570?s=N4IgTCBcDaIKwGY4FoCMAGAbA9bkDkAREAXQF8g" TargetMode="External"/><Relationship Id="rId5" Type="http://schemas.openxmlformats.org/officeDocument/2006/relationships/hyperlink" Target="https://www.digikey.com/en/products/detail/murata-electronics/GJM1555C1H200FB01D/2592908?s=N4IgTCBcDaICwE4AMBaAjGsS7pQOQBEQBdAXyA" TargetMode="External"/><Relationship Id="rId15" Type="http://schemas.openxmlformats.org/officeDocument/2006/relationships/hyperlink" Target="https://www.digikey.com/en/products/detail/texas-instruments/CD4051BPWR/390443?s=N4IgTCBcDa4JwDYC0BGFc4GZVIHIBEQBdAXyA" TargetMode="External"/><Relationship Id="rId10" Type="http://schemas.openxmlformats.org/officeDocument/2006/relationships/hyperlink" Target="https://www.digikey.com/en/products/detail/samsung-electro-mechanics/CL31A106KBHNNNE/3888534?s=N4IgTCBcDaIIxgOwDYC0YAcLV1QOQBEQBdAXyA" TargetMode="External"/><Relationship Id="rId19" Type="http://schemas.openxmlformats.org/officeDocument/2006/relationships/hyperlink" Target="https://www.digikey.com/en/products/detail/ams-osram-usa-inc/SFH-4253-R/7325561" TargetMode="External"/><Relationship Id="rId4" Type="http://schemas.openxmlformats.org/officeDocument/2006/relationships/hyperlink" Target="https://www.digikey.com/en/products/detail/yageo/RC0402JR-074K7L/726477?s=N4IgTCBcDaIMwEYEFoAsA6A7AaQFICUBhAFWQDkAREAXQF8g" TargetMode="External"/><Relationship Id="rId9" Type="http://schemas.openxmlformats.org/officeDocument/2006/relationships/hyperlink" Target="https://www.digikey.com/en/products/detail/abracon-llc/ABS07-32-768KHZ-T/1236858?s=N4IgTCBcDaIKwGY4FoCccAsZkEZkDkAREAXQF8g" TargetMode="External"/><Relationship Id="rId14" Type="http://schemas.openxmlformats.org/officeDocument/2006/relationships/hyperlink" Target="https://www.digikey.com/en/products/detail/taiyo-yuden/UMK107BJ105KA-T/2178919?s=N4IgTCBcDaIKwA4DsBaMAWADJlBGFAcgCIgC6Avk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adafruit-industries-llc/1731/6238161" TargetMode="External"/><Relationship Id="rId2" Type="http://schemas.openxmlformats.org/officeDocument/2006/relationships/hyperlink" Target="https://www.digikey.com/en/products/detail/adafruit-industries-llc/2144/6238162" TargetMode="External"/><Relationship Id="rId1" Type="http://schemas.openxmlformats.org/officeDocument/2006/relationships/hyperlink" Target="https://www.digikey.com/en/products/detail/raspberry-pi/SC0875/17278642" TargetMode="External"/><Relationship Id="rId5" Type="http://schemas.openxmlformats.org/officeDocument/2006/relationships/hyperlink" Target="https://www.digikey.com/en/products/detail/raspberry-pi/SC1732/26241093" TargetMode="External"/><Relationship Id="rId4" Type="http://schemas.openxmlformats.org/officeDocument/2006/relationships/hyperlink" Target="https://www.digikey.com/en/products/detail/arducam/B0305/19116505?s=N4IgTCBcDaIDoBcAEAWAbAdgJwFoBCADAMwECsOAcgCIgC6AvkA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yageo/rc0603fr-07510rl/727285" TargetMode="External"/><Relationship Id="rId18" Type="http://schemas.openxmlformats.org/officeDocument/2006/relationships/hyperlink" Target="https://www.digikey.com/en/products/detail/murata-electronics/GRM1885C1H200JA01D/586920" TargetMode="External"/><Relationship Id="rId26" Type="http://schemas.openxmlformats.org/officeDocument/2006/relationships/hyperlink" Target="https://www.digikey.com/en/products/detail/murata-electronics/grm1885c1h271ja01j/2611130" TargetMode="External"/><Relationship Id="rId39" Type="http://schemas.openxmlformats.org/officeDocument/2006/relationships/hyperlink" Target="https://www.digikey.com/en/products/detail/nexperia-usa-inc/PESD5V2S2UT-215/1157475" TargetMode="External"/><Relationship Id="rId21" Type="http://schemas.openxmlformats.org/officeDocument/2006/relationships/hyperlink" Target="https://www.digikey.com/en/products/detail/murata-electronics/grm1555c1h1r0wa01j/4904825" TargetMode="External"/><Relationship Id="rId34" Type="http://schemas.openxmlformats.org/officeDocument/2006/relationships/hyperlink" Target="https://www.digikey.com/en/products/detail/murata-electronics/LQW18ANR47J00D/584392" TargetMode="External"/><Relationship Id="rId42" Type="http://schemas.openxmlformats.org/officeDocument/2006/relationships/hyperlink" Target="https://www.digikey.sg/en/products/detail/murata-electronics/grm155r71h104ke14d/4906220" TargetMode="External"/><Relationship Id="rId47" Type="http://schemas.openxmlformats.org/officeDocument/2006/relationships/hyperlink" Target="https://www.digikey.sg/en/products/detail/yageo/rc0603fr-07649kl/727346" TargetMode="External"/><Relationship Id="rId50" Type="http://schemas.openxmlformats.org/officeDocument/2006/relationships/hyperlink" Target="https://www.digikey.sg/en/products/detail/murata-electronics/GCJ188R71H473KA12D/2785873?s=N4IgTCBcDaICwE4AMBaArADjXFYUDkAREAXQF8g" TargetMode="External"/><Relationship Id="rId55" Type="http://schemas.openxmlformats.org/officeDocument/2006/relationships/hyperlink" Target="https://www.digikey.sg/en/products/detail/analog-devices-inc/adp7182aujz-5-0-r7/4901224" TargetMode="External"/><Relationship Id="rId63" Type="http://schemas.microsoft.com/office/2019/04/relationships/namedSheetView" Target="../namedSheetViews/namedSheetView1.xml"/><Relationship Id="rId7" Type="http://schemas.openxmlformats.org/officeDocument/2006/relationships/hyperlink" Target="https://www.digikey.com/en/products/detail/vishay-dale/tnpw0603280rbeea/1606702" TargetMode="External"/><Relationship Id="rId2" Type="http://schemas.openxmlformats.org/officeDocument/2006/relationships/hyperlink" Target="https://www.digikey.com/en/products/detail/analog-devices-inc/AD9834BRUZ-REEL7/994992" TargetMode="External"/><Relationship Id="rId16" Type="http://schemas.openxmlformats.org/officeDocument/2006/relationships/hyperlink" Target="https://www.digikey.com/en/products/detail/yageo/rc0603fr-0710kl/726880" TargetMode="External"/><Relationship Id="rId29" Type="http://schemas.openxmlformats.org/officeDocument/2006/relationships/hyperlink" Target="https://www.digikey.com/en/products/detail/murata-electronics/GRM188R72A103KA01D/3845635" TargetMode="External"/><Relationship Id="rId11" Type="http://schemas.openxmlformats.org/officeDocument/2006/relationships/hyperlink" Target="https://www.digikey.com/en/products/detail/vishay-dale/tnpw0603499rbeea/1606732" TargetMode="External"/><Relationship Id="rId24" Type="http://schemas.openxmlformats.org/officeDocument/2006/relationships/hyperlink" Target="https://www.digikey.com/en/products/detail/murata-electronics/grm1885c1h301ja01d/586964" TargetMode="External"/><Relationship Id="rId32" Type="http://schemas.openxmlformats.org/officeDocument/2006/relationships/hyperlink" Target="https://www.digikey.com/en/products/detail/murata-electronics/LQW18ANR27J00D/584389" TargetMode="External"/><Relationship Id="rId37" Type="http://schemas.openxmlformats.org/officeDocument/2006/relationships/hyperlink" Target="https://www.digikey.com/en/products/detail/littelfuse-inc/1206L050-15YR/1211396" TargetMode="External"/><Relationship Id="rId40" Type="http://schemas.openxmlformats.org/officeDocument/2006/relationships/hyperlink" Target="https://www.digikey.sg/en/products/detail/taiwan-semiconductor-corporation/SS24/7369395?s=N4IgTCBcDaIIwA4AMcC0BldYAsAVASqgHIAiIAugL5A" TargetMode="External"/><Relationship Id="rId45" Type="http://schemas.openxmlformats.org/officeDocument/2006/relationships/hyperlink" Target="https://www.digikey.sg/en/products/detail/te-connectivity-passive-product/CPF0603B604KE1/7493601?s=N4IgTCBcDaIIwHY5gLQGEAKAxADANhwGYAhAgFgGkBROAFQCUUA5AERAF0BfIA" TargetMode="External"/><Relationship Id="rId53" Type="http://schemas.openxmlformats.org/officeDocument/2006/relationships/hyperlink" Target="https://www.digikey.sg/en/products/detail/analog-devices-inc/adp7142aujz-5-0-r7/5056896" TargetMode="External"/><Relationship Id="rId58" Type="http://schemas.openxmlformats.org/officeDocument/2006/relationships/hyperlink" Target="https://www.digikey.sg/en/products/detail/murata-electronics/blm18kg601sn1d/1982766" TargetMode="External"/><Relationship Id="rId5" Type="http://schemas.openxmlformats.org/officeDocument/2006/relationships/hyperlink" Target="https://www.digikey.com/en/products/detail/vishay-dale/TNPW06036K80BEEA/1606862?s=N4IgTCBcDaICoDkAKB1ADANjQZgwaQA40AhAUVIEEQBdAXyA" TargetMode="External"/><Relationship Id="rId61" Type="http://schemas.openxmlformats.org/officeDocument/2006/relationships/hyperlink" Target="https://www.digikey.com/en/products/detail/kemet/C0402C151K5RACTU/1933627" TargetMode="External"/><Relationship Id="rId19" Type="http://schemas.openxmlformats.org/officeDocument/2006/relationships/hyperlink" Target="https://www.digikey.com/en/products/detail/kemet/C0603C104K5RACTU/1465594" TargetMode="External"/><Relationship Id="rId14" Type="http://schemas.openxmlformats.org/officeDocument/2006/relationships/hyperlink" Target="https://www.digikey.com/en/products/detail/yageo-america/rc0603fr-072k67l/22283163" TargetMode="External"/><Relationship Id="rId22" Type="http://schemas.openxmlformats.org/officeDocument/2006/relationships/hyperlink" Target="https://www.digikey.com/en/products/detail/yageo/CC0805KKX5R9BB225/5195775" TargetMode="External"/><Relationship Id="rId27" Type="http://schemas.openxmlformats.org/officeDocument/2006/relationships/hyperlink" Target="https://www.digikey.com/en/products/detail/murata-electronics/GRM1885C1H470JA01D/586904" TargetMode="External"/><Relationship Id="rId30" Type="http://schemas.openxmlformats.org/officeDocument/2006/relationships/hyperlink" Target="https://www.digikey.com/en/products/detail/panasonic-electronic-components/ERJ-3EKF49R9V/196378" TargetMode="External"/><Relationship Id="rId35" Type="http://schemas.openxmlformats.org/officeDocument/2006/relationships/hyperlink" Target="https://www.digikey.com/en/products/detail/abracon-llc/ASDMB-75-000MHZ-LY-T/2624314" TargetMode="External"/><Relationship Id="rId43" Type="http://schemas.openxmlformats.org/officeDocument/2006/relationships/hyperlink" Target="https://www.digikey.sg/en/products/detail/analog-devices-inc/ADP5070AREZ/5408965?s=N4IgTCBcDaIKwAY4FoCCARACog7A1ASgKIBayAcuiALoC%2BQA" TargetMode="External"/><Relationship Id="rId48" Type="http://schemas.openxmlformats.org/officeDocument/2006/relationships/hyperlink" Target="https://www.digikey.sg/en/products/detail/murata-electronics/GRM21BR61C106KE15L/965900" TargetMode="External"/><Relationship Id="rId56" Type="http://schemas.openxmlformats.org/officeDocument/2006/relationships/hyperlink" Target="https://www.digikey.sg/en/products/detail/texas-instruments/tps7a2033pdbvr/13566866" TargetMode="External"/><Relationship Id="rId8" Type="http://schemas.openxmlformats.org/officeDocument/2006/relationships/hyperlink" Target="https://www.digikey.com/en/products/detail/yageo/RC0603FR-0722RL/727055?s=N4IgTCBcDaIEoGEAMA2JBmAYnAtEg7GGHADIgC6AvkA" TargetMode="External"/><Relationship Id="rId51" Type="http://schemas.openxmlformats.org/officeDocument/2006/relationships/hyperlink" Target="https://www.digikey.sg/en/products/detail/yageo/RC0603FR-0715KL/726953?s=N4IgTCBcDaIMwEYEFoEFYB0AGA0gCQCUAVA5AOQBEQBdAXyA" TargetMode="External"/><Relationship Id="rId3" Type="http://schemas.openxmlformats.org/officeDocument/2006/relationships/hyperlink" Target="https://www.digikey.com/en/products/detail/stmicroelectronics/STM32F411RET6/4935722" TargetMode="External"/><Relationship Id="rId12" Type="http://schemas.openxmlformats.org/officeDocument/2006/relationships/hyperlink" Target="https://www.digikey.com/en/products/detail/vishay-dale/tnpw06031k78beea/1606793" TargetMode="External"/><Relationship Id="rId17" Type="http://schemas.openxmlformats.org/officeDocument/2006/relationships/hyperlink" Target="https://www.digikey.com/en/products/detail/vishay-dale/tnpw060310r0beea/1606539" TargetMode="External"/><Relationship Id="rId25" Type="http://schemas.openxmlformats.org/officeDocument/2006/relationships/hyperlink" Target="https://www.digikey.com/en/products/detail/murata-electronics/grm1885c1h331ja01j/2611160" TargetMode="External"/><Relationship Id="rId33" Type="http://schemas.openxmlformats.org/officeDocument/2006/relationships/hyperlink" Target="https://www.digikey.com/en/products/detail/murata-electronics/LQW18ANR39J00D/584391" TargetMode="External"/><Relationship Id="rId38" Type="http://schemas.openxmlformats.org/officeDocument/2006/relationships/hyperlink" Target="https://www.digikey.com/en/products/detail/diotec-semiconductor/SMF5-0A/13163545" TargetMode="External"/><Relationship Id="rId46" Type="http://schemas.openxmlformats.org/officeDocument/2006/relationships/hyperlink" Target="https://www.digikey.sg/en/products/detail/vishay-dale/TNPW0603100KBEEN/1610202?s=N4IgTCBcDaIKwBYCMBaAzHAbAThWFAcgCIgC6AvkA" TargetMode="External"/><Relationship Id="rId59" Type="http://schemas.openxmlformats.org/officeDocument/2006/relationships/hyperlink" Target="https://www.digikey.sg/en/products/detail/murata-electronics/GRM188R61A105KA61D/587071?s=N4IgTCBcDaICwE4AMBaAjAVjgZhWFAcgCIgC6AvkA" TargetMode="External"/><Relationship Id="rId20" Type="http://schemas.openxmlformats.org/officeDocument/2006/relationships/hyperlink" Target="https://www.digikey.com/en/products/detail/kemet/C0603C105K3RACTU/3317410" TargetMode="External"/><Relationship Id="rId41" Type="http://schemas.openxmlformats.org/officeDocument/2006/relationships/hyperlink" Target="https://www.digikey.sg/en/products/detail/murata-electronics/grm32er71e226ke15l/2039040" TargetMode="External"/><Relationship Id="rId54" Type="http://schemas.openxmlformats.org/officeDocument/2006/relationships/hyperlink" Target="https://www.digikey.sg/en/products/detail/murata-electronics/grm1885c1h101ja01d/586921" TargetMode="External"/><Relationship Id="rId62" Type="http://schemas.openxmlformats.org/officeDocument/2006/relationships/hyperlink" Target="https://www.digikey.com/en/products/detail/samsung-electro-mechanics/CL10C330JB8NNNC/3886728" TargetMode="External"/><Relationship Id="rId1" Type="http://schemas.openxmlformats.org/officeDocument/2006/relationships/hyperlink" Target="https://www.digikey.com/en/products/detail/analog-devices-inc/AD8302ARUZ/671074" TargetMode="External"/><Relationship Id="rId6" Type="http://schemas.openxmlformats.org/officeDocument/2006/relationships/hyperlink" Target="https://www.digikey.com/en/products/detail/vishay-dale/TNPW0603200RBEEA/1606685?s=N4IgTCBcDaICoDkAKB1ADANjQZjGtASgEICiJAgiALoC%2BQA" TargetMode="External"/><Relationship Id="rId15" Type="http://schemas.openxmlformats.org/officeDocument/2006/relationships/hyperlink" Target="https://www.digikey.com/en/products/detail/yageo/rc0603fr-0751rl/727281" TargetMode="External"/><Relationship Id="rId23" Type="http://schemas.openxmlformats.org/officeDocument/2006/relationships/hyperlink" Target="https://www.digikey.com/en/products/detail/murata-electronics/grm1885c1h181ja01j/2611094" TargetMode="External"/><Relationship Id="rId28" Type="http://schemas.openxmlformats.org/officeDocument/2006/relationships/hyperlink" Target="https://www.digikey.com/en/products/detail/murata-electronics/GRM188R72A104KA35D/702826" TargetMode="External"/><Relationship Id="rId36" Type="http://schemas.openxmlformats.org/officeDocument/2006/relationships/hyperlink" Target="https://www.digikey.com/en/products/detail/texas-instruments/TLV75533PDBVR/9356541" TargetMode="External"/><Relationship Id="rId49" Type="http://schemas.openxmlformats.org/officeDocument/2006/relationships/hyperlink" Target="https://www.digikey.sg/en/products/detail/yageo/rc0603fr-0712kl/726913" TargetMode="External"/><Relationship Id="rId57" Type="http://schemas.openxmlformats.org/officeDocument/2006/relationships/hyperlink" Target="https://www.digikey.sg/en/products/detail/texas-instruments/tlv75533pdbvr/9356541" TargetMode="External"/><Relationship Id="rId10" Type="http://schemas.openxmlformats.org/officeDocument/2006/relationships/hyperlink" Target="https://www.digikey.com/en/products/detail/yageo/RC0603JR-070RL/726675?s=N4IgTCBcDaIEoGEAMA2JBmAUnAtEg7EnADIgC6AvkA" TargetMode="External"/><Relationship Id="rId31" Type="http://schemas.openxmlformats.org/officeDocument/2006/relationships/hyperlink" Target="https://www.digikey.com/en/products/detail/analog-devices-inc/ad8014arz/620459" TargetMode="External"/><Relationship Id="rId44" Type="http://schemas.openxmlformats.org/officeDocument/2006/relationships/hyperlink" Target="https://www.digikey.sg/en/products/detail/diodes-incorporated/DFLS240-7/1934953" TargetMode="External"/><Relationship Id="rId52" Type="http://schemas.openxmlformats.org/officeDocument/2006/relationships/hyperlink" Target="https://www.digikey.sg/en/products/detail/murata-electronics/gcj188r71h683ka12d/2783812" TargetMode="External"/><Relationship Id="rId60" Type="http://schemas.openxmlformats.org/officeDocument/2006/relationships/hyperlink" Target="https://www.digikey.com/en/products/detail/vishay-dale/CRCW06032K61FKEA/1174713" TargetMode="External"/><Relationship Id="rId4" Type="http://schemas.openxmlformats.org/officeDocument/2006/relationships/hyperlink" Target="https://www.digikey.com/en/products/detail/analog-devices-inc/AD8130ARMZ-REEL/994072" TargetMode="External"/><Relationship Id="rId9" Type="http://schemas.openxmlformats.org/officeDocument/2006/relationships/hyperlink" Target="https://www.digikey.com/en/products/detail/vishay-dale/TNPW06031K00BEEA/1606767?s=N4IgTCBcDaICoDkAKBGAdABgwaQIK7gCUBaBAERAF0Bf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69BBF-7FCD-44A8-B65F-E97F41136CF5}">
  <dimension ref="A1:M22"/>
  <sheetViews>
    <sheetView zoomScale="115" zoomScaleNormal="115" workbookViewId="0">
      <pane ySplit="1" topLeftCell="A2" activePane="bottomLeft" state="frozen"/>
      <selection pane="bottomLeft" activeCell="I12" sqref="I12"/>
    </sheetView>
  </sheetViews>
  <sheetFormatPr defaultColWidth="9.140625" defaultRowHeight="15" x14ac:dyDescent="0.25"/>
  <cols>
    <col min="1" max="1" width="7.140625" customWidth="1"/>
    <col min="2" max="2" width="30.42578125" bestFit="1" customWidth="1"/>
    <col min="3" max="3" width="28.42578125" bestFit="1" customWidth="1"/>
    <col min="4" max="4" width="8.42578125" bestFit="1" customWidth="1"/>
    <col min="5" max="5" width="33.5703125" bestFit="1" customWidth="1"/>
    <col min="6" max="6" width="14" customWidth="1"/>
    <col min="7" max="7" width="19" customWidth="1"/>
    <col min="8" max="8" width="18.85546875" customWidth="1"/>
    <col min="9" max="9" width="73.5703125" customWidth="1"/>
    <col min="10" max="10" width="9.140625" customWidth="1"/>
    <col min="11" max="11" width="4.7109375" customWidth="1"/>
    <col min="12" max="12" width="18.140625" customWidth="1"/>
    <col min="13" max="13" width="15.7109375" customWidth="1"/>
    <col min="14" max="15" width="9.140625" customWidth="1"/>
  </cols>
  <sheetData>
    <row r="1" spans="1:13" ht="15" customHeight="1" x14ac:dyDescent="0.25">
      <c r="A1" s="24" t="s">
        <v>0</v>
      </c>
      <c r="B1" s="25" t="s">
        <v>1</v>
      </c>
      <c r="C1" s="26" t="s">
        <v>2</v>
      </c>
      <c r="D1" s="25" t="s">
        <v>3</v>
      </c>
      <c r="E1" s="27" t="s">
        <v>4</v>
      </c>
      <c r="F1" s="27" t="s">
        <v>5</v>
      </c>
      <c r="G1" s="27" t="s">
        <v>6</v>
      </c>
      <c r="H1" s="28" t="s">
        <v>7</v>
      </c>
      <c r="I1" s="26" t="s">
        <v>8</v>
      </c>
      <c r="J1" s="24" t="s">
        <v>9</v>
      </c>
    </row>
    <row r="2" spans="1:13" ht="15" customHeight="1" x14ac:dyDescent="0.25">
      <c r="A2" s="7">
        <v>1</v>
      </c>
      <c r="B2" s="1" t="s">
        <v>10</v>
      </c>
      <c r="C2" s="1" t="s">
        <v>11</v>
      </c>
      <c r="D2" s="1">
        <v>30</v>
      </c>
      <c r="E2" s="1" t="s">
        <v>12</v>
      </c>
      <c r="F2" s="6">
        <v>1.1399999999999999</v>
      </c>
      <c r="G2" s="6">
        <f t="shared" ref="G2" si="0">F2*D2</f>
        <v>34.199999999999996</v>
      </c>
      <c r="H2" s="23">
        <f t="shared" ref="H2:H22" si="1">G2*26190</f>
        <v>895697.99999999988</v>
      </c>
      <c r="I2" s="4" t="s">
        <v>13</v>
      </c>
      <c r="J2" s="7" t="s">
        <v>14</v>
      </c>
      <c r="L2" s="1" t="s">
        <v>15</v>
      </c>
      <c r="M2" s="2">
        <f>SUM($G:$G)</f>
        <v>364.71524999999991</v>
      </c>
    </row>
    <row r="3" spans="1:13" ht="15" customHeight="1" x14ac:dyDescent="0.25">
      <c r="A3" s="1">
        <v>2</v>
      </c>
      <c r="B3" s="1" t="s">
        <v>16</v>
      </c>
      <c r="C3" s="1" t="s">
        <v>17</v>
      </c>
      <c r="D3" s="1">
        <v>4</v>
      </c>
      <c r="E3" s="1" t="s">
        <v>18</v>
      </c>
      <c r="F3" s="2">
        <v>17.920000000000002</v>
      </c>
      <c r="G3" s="2">
        <f t="shared" ref="G3:G22" si="2">F3*D3</f>
        <v>71.680000000000007</v>
      </c>
      <c r="H3" s="3">
        <f t="shared" si="1"/>
        <v>1877299.2000000002</v>
      </c>
      <c r="I3" s="4" t="s">
        <v>19</v>
      </c>
      <c r="J3" s="7" t="s">
        <v>20</v>
      </c>
      <c r="L3" s="17" t="s">
        <v>21</v>
      </c>
      <c r="M3" s="18">
        <f>SUM($H:$H)</f>
        <v>9551892.3975000009</v>
      </c>
    </row>
    <row r="4" spans="1:13" ht="15" customHeight="1" x14ac:dyDescent="0.25">
      <c r="A4" s="7">
        <v>3</v>
      </c>
      <c r="B4" s="1" t="s">
        <v>22</v>
      </c>
      <c r="C4" s="1" t="s">
        <v>23</v>
      </c>
      <c r="D4" s="1">
        <v>4</v>
      </c>
      <c r="E4" s="1" t="s">
        <v>24</v>
      </c>
      <c r="F4" s="2">
        <v>34.64</v>
      </c>
      <c r="G4" s="2">
        <f t="shared" si="2"/>
        <v>138.56</v>
      </c>
      <c r="H4" s="3">
        <f t="shared" si="1"/>
        <v>3628886.4</v>
      </c>
      <c r="I4" s="4" t="s">
        <v>25</v>
      </c>
      <c r="J4" s="7" t="s">
        <v>20</v>
      </c>
      <c r="L4" s="1" t="s">
        <v>26</v>
      </c>
      <c r="M4" s="19">
        <f>$M$2*31.63</f>
        <v>11535.943357499997</v>
      </c>
    </row>
    <row r="5" spans="1:13" ht="15" customHeight="1" x14ac:dyDescent="0.25">
      <c r="A5" s="1">
        <v>4</v>
      </c>
      <c r="B5" s="1" t="s">
        <v>27</v>
      </c>
      <c r="C5" s="1" t="s">
        <v>28</v>
      </c>
      <c r="D5" s="1">
        <v>4</v>
      </c>
      <c r="E5" s="1" t="s">
        <v>29</v>
      </c>
      <c r="F5" s="2">
        <v>6.69</v>
      </c>
      <c r="G5" s="2">
        <f t="shared" si="2"/>
        <v>26.76</v>
      </c>
      <c r="H5" s="3">
        <f t="shared" si="1"/>
        <v>700844.4</v>
      </c>
      <c r="I5" s="4" t="s">
        <v>30</v>
      </c>
      <c r="J5" s="7" t="s">
        <v>20</v>
      </c>
    </row>
    <row r="6" spans="1:13" ht="15" customHeight="1" x14ac:dyDescent="0.25">
      <c r="A6" s="7">
        <v>5</v>
      </c>
      <c r="B6" s="1" t="s">
        <v>31</v>
      </c>
      <c r="C6" s="1" t="s">
        <v>32</v>
      </c>
      <c r="D6" s="1">
        <v>4</v>
      </c>
      <c r="E6" s="1" t="s">
        <v>33</v>
      </c>
      <c r="F6" s="2">
        <v>5.18</v>
      </c>
      <c r="G6" s="2">
        <f t="shared" si="2"/>
        <v>20.72</v>
      </c>
      <c r="H6" s="3">
        <f t="shared" si="1"/>
        <v>542656.79999999993</v>
      </c>
      <c r="I6" s="4" t="s">
        <v>34</v>
      </c>
      <c r="J6" s="7" t="s">
        <v>20</v>
      </c>
    </row>
    <row r="7" spans="1:13" ht="15" customHeight="1" x14ac:dyDescent="0.25">
      <c r="A7" s="1">
        <v>6</v>
      </c>
      <c r="B7" s="1" t="s">
        <v>35</v>
      </c>
      <c r="C7" s="1" t="s">
        <v>36</v>
      </c>
      <c r="D7" s="1">
        <v>25</v>
      </c>
      <c r="E7" s="1" t="s">
        <v>37</v>
      </c>
      <c r="F7" s="2">
        <v>0.12</v>
      </c>
      <c r="G7" s="6">
        <f t="shared" si="2"/>
        <v>3</v>
      </c>
      <c r="H7" s="3">
        <f t="shared" si="1"/>
        <v>78570</v>
      </c>
      <c r="I7" s="4" t="s">
        <v>38</v>
      </c>
      <c r="J7" s="7" t="s">
        <v>20</v>
      </c>
    </row>
    <row r="8" spans="1:13" x14ac:dyDescent="0.25">
      <c r="A8" s="7">
        <v>7</v>
      </c>
      <c r="B8" s="1" t="s">
        <v>39</v>
      </c>
      <c r="C8" s="1" t="s">
        <v>40</v>
      </c>
      <c r="D8" s="1">
        <v>25</v>
      </c>
      <c r="E8" s="1" t="s">
        <v>41</v>
      </c>
      <c r="F8" s="2">
        <v>0.14000000000000001</v>
      </c>
      <c r="G8" s="6">
        <f t="shared" si="2"/>
        <v>3.5000000000000004</v>
      </c>
      <c r="H8" s="3">
        <f t="shared" si="1"/>
        <v>91665.000000000015</v>
      </c>
      <c r="I8" s="4" t="s">
        <v>42</v>
      </c>
      <c r="J8" s="7" t="s">
        <v>20</v>
      </c>
    </row>
    <row r="9" spans="1:13" x14ac:dyDescent="0.25">
      <c r="A9" s="1">
        <v>8</v>
      </c>
      <c r="B9" s="1" t="s">
        <v>43</v>
      </c>
      <c r="C9" s="1" t="s">
        <v>44</v>
      </c>
      <c r="D9" s="1">
        <v>25</v>
      </c>
      <c r="E9" s="1" t="s">
        <v>45</v>
      </c>
      <c r="F9" s="2">
        <v>0.1</v>
      </c>
      <c r="G9" s="6">
        <f t="shared" si="2"/>
        <v>2.5</v>
      </c>
      <c r="H9" s="3">
        <f t="shared" si="1"/>
        <v>65475</v>
      </c>
      <c r="I9" s="4" t="s">
        <v>46</v>
      </c>
      <c r="J9" s="7" t="s">
        <v>20</v>
      </c>
    </row>
    <row r="10" spans="1:13" x14ac:dyDescent="0.25">
      <c r="A10" s="7">
        <v>9</v>
      </c>
      <c r="B10" s="1" t="s">
        <v>47</v>
      </c>
      <c r="C10" s="1" t="s">
        <v>48</v>
      </c>
      <c r="D10" s="1">
        <v>25</v>
      </c>
      <c r="E10" s="1" t="s">
        <v>49</v>
      </c>
      <c r="F10" s="2">
        <v>0.13</v>
      </c>
      <c r="G10" s="6">
        <f t="shared" si="2"/>
        <v>3.25</v>
      </c>
      <c r="H10" s="3">
        <f t="shared" si="1"/>
        <v>85117.5</v>
      </c>
      <c r="I10" s="4" t="s">
        <v>50</v>
      </c>
      <c r="J10" s="7" t="s">
        <v>20</v>
      </c>
    </row>
    <row r="11" spans="1:13" x14ac:dyDescent="0.25">
      <c r="A11" s="1">
        <v>10</v>
      </c>
      <c r="B11" s="1" t="s">
        <v>51</v>
      </c>
      <c r="C11" s="1" t="s">
        <v>52</v>
      </c>
      <c r="D11" s="1">
        <v>25</v>
      </c>
      <c r="E11" s="1" t="s">
        <v>53</v>
      </c>
      <c r="F11" s="2">
        <v>0.11</v>
      </c>
      <c r="G11" s="6">
        <f t="shared" si="2"/>
        <v>2.75</v>
      </c>
      <c r="H11" s="3">
        <f t="shared" si="1"/>
        <v>72022.5</v>
      </c>
      <c r="I11" s="4" t="s">
        <v>54</v>
      </c>
      <c r="J11" s="7" t="s">
        <v>20</v>
      </c>
    </row>
    <row r="12" spans="1:13" x14ac:dyDescent="0.25">
      <c r="A12" s="7">
        <v>11</v>
      </c>
      <c r="B12" s="1" t="s">
        <v>55</v>
      </c>
      <c r="C12" s="1" t="s">
        <v>56</v>
      </c>
      <c r="D12" s="1">
        <v>25</v>
      </c>
      <c r="E12" s="1" t="s">
        <v>57</v>
      </c>
      <c r="F12" s="2">
        <v>2.5010000000000001E-2</v>
      </c>
      <c r="G12" s="6">
        <f t="shared" si="2"/>
        <v>0.62524999999999997</v>
      </c>
      <c r="H12" s="3">
        <f t="shared" si="1"/>
        <v>16375.297499999999</v>
      </c>
      <c r="I12" s="4" t="s">
        <v>58</v>
      </c>
      <c r="J12" s="7" t="s">
        <v>20</v>
      </c>
    </row>
    <row r="13" spans="1:13" x14ac:dyDescent="0.25">
      <c r="A13" s="44">
        <v>31</v>
      </c>
      <c r="B13" s="44" t="s">
        <v>59</v>
      </c>
      <c r="C13" s="44" t="s">
        <v>60</v>
      </c>
      <c r="D13" s="44">
        <v>25</v>
      </c>
      <c r="E13" s="44" t="s">
        <v>61</v>
      </c>
      <c r="F13" s="45">
        <v>0.1</v>
      </c>
      <c r="G13" s="46">
        <f t="shared" si="2"/>
        <v>2.5</v>
      </c>
      <c r="H13" s="47">
        <f t="shared" si="1"/>
        <v>65475</v>
      </c>
      <c r="I13" s="48" t="s">
        <v>62</v>
      </c>
      <c r="J13" s="7" t="s">
        <v>20</v>
      </c>
    </row>
    <row r="14" spans="1:13" x14ac:dyDescent="0.25">
      <c r="A14" s="44">
        <v>32</v>
      </c>
      <c r="B14" s="44" t="s">
        <v>63</v>
      </c>
      <c r="C14" s="44" t="s">
        <v>64</v>
      </c>
      <c r="D14" s="44">
        <v>4</v>
      </c>
      <c r="E14" s="44" t="s">
        <v>65</v>
      </c>
      <c r="F14" s="45">
        <v>4.59</v>
      </c>
      <c r="G14" s="46">
        <f t="shared" si="2"/>
        <v>18.36</v>
      </c>
      <c r="H14" s="47">
        <f t="shared" si="1"/>
        <v>480848.39999999997</v>
      </c>
      <c r="I14" s="48" t="s">
        <v>66</v>
      </c>
      <c r="J14" s="7" t="s">
        <v>20</v>
      </c>
    </row>
    <row r="15" spans="1:13" x14ac:dyDescent="0.25">
      <c r="A15" s="44">
        <v>33</v>
      </c>
      <c r="B15" s="44" t="s">
        <v>67</v>
      </c>
      <c r="C15" s="44" t="s">
        <v>68</v>
      </c>
      <c r="D15" s="44">
        <v>25</v>
      </c>
      <c r="E15" s="44" t="s">
        <v>69</v>
      </c>
      <c r="F15" s="45">
        <v>0.11</v>
      </c>
      <c r="G15" s="46">
        <f t="shared" si="2"/>
        <v>2.75</v>
      </c>
      <c r="H15" s="47">
        <f t="shared" si="1"/>
        <v>72022.5</v>
      </c>
      <c r="I15" s="48" t="s">
        <v>70</v>
      </c>
      <c r="J15" s="7" t="s">
        <v>20</v>
      </c>
    </row>
    <row r="16" spans="1:13" x14ac:dyDescent="0.25">
      <c r="A16" s="44">
        <v>34</v>
      </c>
      <c r="B16" s="44" t="s">
        <v>71</v>
      </c>
      <c r="C16" s="44" t="s">
        <v>72</v>
      </c>
      <c r="D16" s="44">
        <v>25</v>
      </c>
      <c r="E16" s="44" t="s">
        <v>73</v>
      </c>
      <c r="F16" s="45">
        <v>0.11</v>
      </c>
      <c r="G16" s="46">
        <f t="shared" si="2"/>
        <v>2.75</v>
      </c>
      <c r="H16" s="47">
        <f t="shared" si="1"/>
        <v>72022.5</v>
      </c>
      <c r="I16" s="48" t="s">
        <v>74</v>
      </c>
      <c r="J16" s="7" t="s">
        <v>20</v>
      </c>
    </row>
    <row r="17" spans="1:10" x14ac:dyDescent="0.25">
      <c r="A17" s="44">
        <v>35</v>
      </c>
      <c r="B17" s="44" t="s">
        <v>75</v>
      </c>
      <c r="C17" s="44" t="s">
        <v>76</v>
      </c>
      <c r="D17" s="44">
        <v>25</v>
      </c>
      <c r="E17" s="44" t="s">
        <v>77</v>
      </c>
      <c r="F17" s="45">
        <v>0.11</v>
      </c>
      <c r="G17" s="46">
        <f t="shared" si="2"/>
        <v>2.75</v>
      </c>
      <c r="H17" s="47">
        <f t="shared" si="1"/>
        <v>72022.5</v>
      </c>
      <c r="I17" s="48" t="s">
        <v>78</v>
      </c>
      <c r="J17" s="7" t="s">
        <v>20</v>
      </c>
    </row>
    <row r="18" spans="1:10" x14ac:dyDescent="0.25">
      <c r="A18" s="44">
        <v>36</v>
      </c>
      <c r="B18" s="44" t="s">
        <v>79</v>
      </c>
      <c r="C18" s="44" t="s">
        <v>80</v>
      </c>
      <c r="D18" s="44">
        <v>4</v>
      </c>
      <c r="E18" s="44" t="s">
        <v>81</v>
      </c>
      <c r="F18" s="45">
        <v>3.85</v>
      </c>
      <c r="G18" s="46">
        <f t="shared" si="2"/>
        <v>15.4</v>
      </c>
      <c r="H18" s="47">
        <f t="shared" si="1"/>
        <v>403326</v>
      </c>
      <c r="I18" s="48" t="s">
        <v>82</v>
      </c>
      <c r="J18" s="7" t="s">
        <v>20</v>
      </c>
    </row>
    <row r="19" spans="1:10" x14ac:dyDescent="0.25">
      <c r="A19" s="44">
        <v>37</v>
      </c>
      <c r="B19" s="44" t="s">
        <v>83</v>
      </c>
      <c r="C19" s="44" t="s">
        <v>84</v>
      </c>
      <c r="D19" s="44">
        <v>10</v>
      </c>
      <c r="E19" s="44" t="s">
        <v>85</v>
      </c>
      <c r="F19" s="45">
        <v>0.25</v>
      </c>
      <c r="G19" s="46">
        <f t="shared" si="2"/>
        <v>2.5</v>
      </c>
      <c r="H19" s="47">
        <f t="shared" si="1"/>
        <v>65475</v>
      </c>
      <c r="I19" s="48" t="s">
        <v>86</v>
      </c>
      <c r="J19" s="7" t="s">
        <v>20</v>
      </c>
    </row>
    <row r="20" spans="1:10" x14ac:dyDescent="0.25">
      <c r="A20" s="44">
        <v>38</v>
      </c>
      <c r="B20" s="44" t="s">
        <v>87</v>
      </c>
      <c r="C20" s="44" t="s">
        <v>88</v>
      </c>
      <c r="D20" s="44">
        <v>10</v>
      </c>
      <c r="E20" s="44" t="s">
        <v>89</v>
      </c>
      <c r="F20" s="45">
        <v>0.42599999999999999</v>
      </c>
      <c r="G20" s="46">
        <f t="shared" si="2"/>
        <v>4.26</v>
      </c>
      <c r="H20" s="47">
        <f t="shared" si="1"/>
        <v>111569.4</v>
      </c>
      <c r="I20" s="48" t="s">
        <v>90</v>
      </c>
      <c r="J20" s="7" t="s">
        <v>20</v>
      </c>
    </row>
    <row r="21" spans="1:10" x14ac:dyDescent="0.25">
      <c r="A21" s="44">
        <v>39</v>
      </c>
      <c r="B21" s="44" t="s">
        <v>91</v>
      </c>
      <c r="C21" s="44" t="s">
        <v>92</v>
      </c>
      <c r="D21" s="44">
        <v>10</v>
      </c>
      <c r="E21" s="44" t="s">
        <v>93</v>
      </c>
      <c r="F21" s="45">
        <v>0.25</v>
      </c>
      <c r="G21" s="46">
        <f t="shared" si="2"/>
        <v>2.5</v>
      </c>
      <c r="H21" s="47">
        <f t="shared" si="1"/>
        <v>65475</v>
      </c>
      <c r="I21" s="48" t="s">
        <v>94</v>
      </c>
      <c r="J21" s="7" t="s">
        <v>20</v>
      </c>
    </row>
    <row r="22" spans="1:10" x14ac:dyDescent="0.25">
      <c r="A22" s="44">
        <v>40</v>
      </c>
      <c r="B22" s="44" t="s">
        <v>95</v>
      </c>
      <c r="C22" s="44" t="s">
        <v>96</v>
      </c>
      <c r="D22" s="44">
        <v>10</v>
      </c>
      <c r="E22" s="44" t="s">
        <v>97</v>
      </c>
      <c r="F22" s="45">
        <v>0.34</v>
      </c>
      <c r="G22" s="46">
        <f t="shared" si="2"/>
        <v>3.4000000000000004</v>
      </c>
      <c r="H22" s="47">
        <f t="shared" si="1"/>
        <v>89046.000000000015</v>
      </c>
      <c r="I22" s="48" t="s">
        <v>98</v>
      </c>
      <c r="J22" s="7" t="s">
        <v>20</v>
      </c>
    </row>
  </sheetData>
  <hyperlinks>
    <hyperlink ref="I2" r:id="rId1" xr:uid="{2735BB18-FF24-47EC-8384-B44A494A7EC0}"/>
    <hyperlink ref="I4" r:id="rId2" xr:uid="{90C1523D-1531-4DD0-B2F4-1BB31326153E}"/>
    <hyperlink ref="I3" r:id="rId3" xr:uid="{96AEA70A-B1DB-4A91-BE07-278921E48F97}"/>
    <hyperlink ref="I5" r:id="rId4" xr:uid="{793DE8B5-9FB3-462D-9389-52A903A9572B}"/>
    <hyperlink ref="I6" r:id="rId5" xr:uid="{0C427B47-FA51-4EB4-9828-6081BE95CE6A}"/>
    <hyperlink ref="I7" r:id="rId6" xr:uid="{33D69A47-96D1-41A9-8FD3-F7EAF1CEAF1F}"/>
    <hyperlink ref="I8" r:id="rId7" xr:uid="{22C2A564-7059-4A31-A5A7-E97FBDA5ABBF}"/>
    <hyperlink ref="I9" r:id="rId8" xr:uid="{698BFDAC-3780-4B77-92EB-F4C73A6AA9AE}"/>
    <hyperlink ref="I10" r:id="rId9" xr:uid="{4FBC5EBA-927E-4DC4-8A49-E5CF25C64F21}"/>
    <hyperlink ref="I11" r:id="rId10" xr:uid="{00C3B441-2F41-4357-A0F0-5822FBF186D6}"/>
    <hyperlink ref="I12" r:id="rId11" xr:uid="{66F7D35B-9C86-4618-A209-DB7AFA23B857}"/>
    <hyperlink ref="I13" r:id="rId12" display="https://www.digikey.com/en/products/detail/panasonic-electronic-components/ERJ-3EKF49R9V/196378" xr:uid="{5BB29140-83A0-44F3-B705-35BF09430759}"/>
    <hyperlink ref="I14" r:id="rId13" xr:uid="{0ADCE4B9-4539-4683-882D-F7E673688B46}"/>
    <hyperlink ref="I15" r:id="rId14" xr:uid="{021E75DC-FD38-45D8-B619-A2E1CC46D625}"/>
    <hyperlink ref="I16" r:id="rId15" xr:uid="{528AC3BF-29B1-4987-AEA6-F0C6E4DE61F3}"/>
    <hyperlink ref="I17" r:id="rId16" xr:uid="{2BC4D278-D03E-4A56-BBE8-C2ED5BB72250}"/>
    <hyperlink ref="I18" r:id="rId17" xr:uid="{9DF39045-1F7B-412D-A2DA-1DDD35D5D76D}"/>
    <hyperlink ref="I19" r:id="rId18" xr:uid="{B97D0D10-9F84-4E46-BBE9-CBC85413F24F}"/>
    <hyperlink ref="I20" r:id="rId19" xr:uid="{5035F81E-2B65-4941-A67F-0FAFE90FA35A}"/>
    <hyperlink ref="I21" r:id="rId20" xr:uid="{1613473B-524B-45C5-9E34-DA51F1BC5139}"/>
    <hyperlink ref="I22" r:id="rId21" xr:uid="{4B291162-D45A-4061-AF4C-47D5873F4768}"/>
  </hyperlinks>
  <pageMargins left="0.7" right="0.7" top="0.75" bottom="0.75" header="0.3" footer="0.3"/>
  <pageSetup orientation="portrait"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36E3-66FE-4EA5-81DB-EA91BBB23070}">
  <dimension ref="A1:M25"/>
  <sheetViews>
    <sheetView zoomScaleNormal="100" workbookViewId="0">
      <selection activeCell="C31" sqref="C31"/>
    </sheetView>
  </sheetViews>
  <sheetFormatPr defaultRowHeight="15" x14ac:dyDescent="0.25"/>
  <cols>
    <col min="1" max="1" width="7.85546875" customWidth="1"/>
    <col min="2" max="2" width="26.85546875" bestFit="1" customWidth="1"/>
    <col min="3" max="3" width="28.85546875" customWidth="1"/>
    <col min="4" max="4" width="9" customWidth="1"/>
    <col min="5" max="5" width="37.140625" customWidth="1"/>
    <col min="6" max="6" width="15.140625" customWidth="1"/>
    <col min="7" max="7" width="17.42578125" customWidth="1"/>
    <col min="8" max="8" width="19.85546875" customWidth="1"/>
    <col min="9" max="9" width="47.85546875" customWidth="1"/>
    <col min="13" max="13" width="17.7109375" customWidth="1"/>
  </cols>
  <sheetData>
    <row r="1" spans="1:13" ht="15" customHeight="1" x14ac:dyDescent="0.25">
      <c r="A1" s="24" t="s">
        <v>0</v>
      </c>
      <c r="B1" s="25" t="s">
        <v>1</v>
      </c>
      <c r="C1" s="26" t="s">
        <v>2</v>
      </c>
      <c r="D1" s="25" t="s">
        <v>3</v>
      </c>
      <c r="E1" s="27" t="s">
        <v>4</v>
      </c>
      <c r="F1" s="27" t="s">
        <v>5</v>
      </c>
      <c r="G1" s="27" t="s">
        <v>6</v>
      </c>
      <c r="H1" s="28" t="s">
        <v>7</v>
      </c>
      <c r="I1" s="26" t="s">
        <v>8</v>
      </c>
      <c r="J1" s="24" t="s">
        <v>9</v>
      </c>
    </row>
    <row r="2" spans="1:13" x14ac:dyDescent="0.25">
      <c r="A2" s="1">
        <v>1</v>
      </c>
      <c r="B2" s="1" t="s">
        <v>99</v>
      </c>
      <c r="C2" s="1" t="s">
        <v>100</v>
      </c>
      <c r="D2" s="1">
        <v>2</v>
      </c>
      <c r="E2" s="1" t="s">
        <v>101</v>
      </c>
      <c r="F2" s="20">
        <v>48.79</v>
      </c>
      <c r="G2" s="6">
        <f t="shared" ref="G2:G7" si="0">F2*D2</f>
        <v>97.58</v>
      </c>
      <c r="H2" s="23">
        <f>G2*26190</f>
        <v>2555620.2000000002</v>
      </c>
      <c r="I2" s="29" t="s">
        <v>102</v>
      </c>
      <c r="J2" s="31" t="s">
        <v>103</v>
      </c>
      <c r="L2" s="1" t="s">
        <v>15</v>
      </c>
      <c r="M2" s="2">
        <f>SUM($G:$G)</f>
        <v>298.70049999999998</v>
      </c>
    </row>
    <row r="3" spans="1:13" x14ac:dyDescent="0.25">
      <c r="A3" s="1">
        <v>2</v>
      </c>
      <c r="B3" s="1" t="s">
        <v>104</v>
      </c>
      <c r="C3" s="1">
        <v>2144</v>
      </c>
      <c r="D3" s="1">
        <v>3</v>
      </c>
      <c r="E3" s="1" t="s">
        <v>105</v>
      </c>
      <c r="F3" s="6">
        <v>5.95</v>
      </c>
      <c r="G3" s="6">
        <f t="shared" si="0"/>
        <v>17.850000000000001</v>
      </c>
      <c r="H3" s="23">
        <f t="shared" ref="H3:H6" si="1">G3*26190</f>
        <v>467491.50000000006</v>
      </c>
      <c r="I3" s="29" t="s">
        <v>106</v>
      </c>
      <c r="J3" s="31" t="s">
        <v>103</v>
      </c>
      <c r="L3" s="17" t="s">
        <v>21</v>
      </c>
      <c r="M3" s="18">
        <f>SUM($H:$H)</f>
        <v>7822966.0949999997</v>
      </c>
    </row>
    <row r="4" spans="1:13" x14ac:dyDescent="0.25">
      <c r="A4" s="1">
        <v>3</v>
      </c>
      <c r="B4" s="1" t="s">
        <v>107</v>
      </c>
      <c r="C4" s="1">
        <v>1731</v>
      </c>
      <c r="D4" s="1">
        <v>3</v>
      </c>
      <c r="E4" s="1" t="s">
        <v>108</v>
      </c>
      <c r="F4" s="6">
        <v>2.95</v>
      </c>
      <c r="G4" s="6">
        <f t="shared" si="0"/>
        <v>8.8500000000000014</v>
      </c>
      <c r="H4" s="23">
        <f t="shared" si="1"/>
        <v>231781.50000000003</v>
      </c>
      <c r="I4" s="29" t="s">
        <v>109</v>
      </c>
      <c r="J4" s="31" t="s">
        <v>103</v>
      </c>
      <c r="L4" s="1" t="s">
        <v>26</v>
      </c>
      <c r="M4" s="19">
        <f>$M$2*31.63</f>
        <v>9447.8968149999982</v>
      </c>
    </row>
    <row r="5" spans="1:13" x14ac:dyDescent="0.25">
      <c r="A5" s="1">
        <v>4</v>
      </c>
      <c r="B5" s="1" t="s">
        <v>110</v>
      </c>
      <c r="C5" s="1" t="s">
        <v>111</v>
      </c>
      <c r="D5" s="1">
        <v>1</v>
      </c>
      <c r="E5" s="1" t="s">
        <v>112</v>
      </c>
      <c r="F5" s="6">
        <v>87.92</v>
      </c>
      <c r="G5" s="6">
        <f t="shared" si="0"/>
        <v>87.92</v>
      </c>
      <c r="H5" s="23">
        <f t="shared" si="1"/>
        <v>2302624.7999999998</v>
      </c>
      <c r="I5" s="29" t="s">
        <v>113</v>
      </c>
      <c r="J5" s="31" t="s">
        <v>103</v>
      </c>
    </row>
    <row r="6" spans="1:13" x14ac:dyDescent="0.25">
      <c r="A6" s="1">
        <v>5</v>
      </c>
      <c r="B6" s="1" t="s">
        <v>114</v>
      </c>
      <c r="C6" s="1"/>
      <c r="D6" s="1">
        <v>1</v>
      </c>
      <c r="E6" s="1" t="s">
        <v>115</v>
      </c>
      <c r="F6" s="6">
        <v>15</v>
      </c>
      <c r="G6" s="6">
        <f t="shared" si="0"/>
        <v>15</v>
      </c>
      <c r="H6" s="23">
        <f t="shared" si="1"/>
        <v>392850</v>
      </c>
      <c r="I6" s="29" t="s">
        <v>116</v>
      </c>
      <c r="J6" s="31" t="s">
        <v>103</v>
      </c>
    </row>
    <row r="7" spans="1:13" x14ac:dyDescent="0.25">
      <c r="A7" s="1">
        <v>6</v>
      </c>
      <c r="B7" s="1" t="s">
        <v>117</v>
      </c>
      <c r="C7" s="1" t="s">
        <v>118</v>
      </c>
      <c r="D7" s="1">
        <v>25</v>
      </c>
      <c r="E7" s="1" t="s">
        <v>119</v>
      </c>
      <c r="F7" s="2">
        <v>0.23</v>
      </c>
      <c r="G7" s="6">
        <f t="shared" si="0"/>
        <v>5.75</v>
      </c>
      <c r="H7" s="3">
        <f>G7*26190</f>
        <v>150592.5</v>
      </c>
      <c r="I7" s="4" t="s">
        <v>120</v>
      </c>
      <c r="J7" s="7" t="s">
        <v>20</v>
      </c>
    </row>
    <row r="8" spans="1:13" x14ac:dyDescent="0.25">
      <c r="A8" s="1">
        <v>7</v>
      </c>
      <c r="B8" s="1" t="s">
        <v>121</v>
      </c>
      <c r="C8" s="1" t="s">
        <v>122</v>
      </c>
      <c r="D8" s="1">
        <v>25</v>
      </c>
      <c r="E8" s="1" t="s">
        <v>123</v>
      </c>
      <c r="F8" s="2">
        <v>0.23</v>
      </c>
      <c r="G8" s="6">
        <f t="shared" ref="G8:G25" si="2">F8*D8</f>
        <v>5.75</v>
      </c>
      <c r="H8" s="3">
        <f t="shared" ref="H8:H25" si="3">G8*26190</f>
        <v>150592.5</v>
      </c>
      <c r="I8" s="4" t="s">
        <v>124</v>
      </c>
      <c r="J8" s="7" t="s">
        <v>20</v>
      </c>
    </row>
    <row r="9" spans="1:13" x14ac:dyDescent="0.25">
      <c r="A9" s="1">
        <v>8</v>
      </c>
      <c r="B9" s="1" t="s">
        <v>125</v>
      </c>
      <c r="C9" s="1" t="s">
        <v>126</v>
      </c>
      <c r="D9" s="1">
        <v>25</v>
      </c>
      <c r="E9" s="1" t="s">
        <v>127</v>
      </c>
      <c r="F9" s="2">
        <v>0.23</v>
      </c>
      <c r="G9" s="6">
        <f t="shared" si="2"/>
        <v>5.75</v>
      </c>
      <c r="H9" s="3">
        <f t="shared" si="3"/>
        <v>150592.5</v>
      </c>
      <c r="I9" s="4" t="s">
        <v>128</v>
      </c>
      <c r="J9" s="7" t="s">
        <v>20</v>
      </c>
    </row>
    <row r="10" spans="1:13" x14ac:dyDescent="0.25">
      <c r="A10" s="1">
        <v>9</v>
      </c>
      <c r="B10" s="1" t="s">
        <v>129</v>
      </c>
      <c r="C10" s="1" t="s">
        <v>130</v>
      </c>
      <c r="D10" s="1">
        <v>25</v>
      </c>
      <c r="E10" s="1" t="s">
        <v>131</v>
      </c>
      <c r="F10" s="2">
        <v>0.23</v>
      </c>
      <c r="G10" s="6">
        <f t="shared" si="2"/>
        <v>5.75</v>
      </c>
      <c r="H10" s="3">
        <f t="shared" si="3"/>
        <v>150592.5</v>
      </c>
      <c r="I10" s="4" t="s">
        <v>132</v>
      </c>
      <c r="J10" s="7" t="s">
        <v>20</v>
      </c>
    </row>
    <row r="11" spans="1:13" x14ac:dyDescent="0.25">
      <c r="A11" s="1">
        <v>10</v>
      </c>
      <c r="B11" s="1" t="s">
        <v>133</v>
      </c>
      <c r="C11" s="1" t="s">
        <v>134</v>
      </c>
      <c r="D11" s="1">
        <v>25</v>
      </c>
      <c r="E11" s="1" t="s">
        <v>135</v>
      </c>
      <c r="F11" s="2">
        <v>0.1</v>
      </c>
      <c r="G11" s="6">
        <f t="shared" si="2"/>
        <v>2.5</v>
      </c>
      <c r="H11" s="3">
        <f t="shared" si="3"/>
        <v>65475</v>
      </c>
      <c r="I11" s="4" t="s">
        <v>136</v>
      </c>
      <c r="J11" s="7" t="s">
        <v>20</v>
      </c>
    </row>
    <row r="12" spans="1:13" x14ac:dyDescent="0.25">
      <c r="A12" s="1">
        <v>11</v>
      </c>
      <c r="B12" s="1" t="s">
        <v>137</v>
      </c>
      <c r="C12" s="1" t="s">
        <v>137</v>
      </c>
      <c r="D12" s="1">
        <v>25</v>
      </c>
      <c r="E12" s="1" t="s">
        <v>138</v>
      </c>
      <c r="F12" s="2">
        <v>0.1</v>
      </c>
      <c r="G12" s="6">
        <f t="shared" si="2"/>
        <v>2.5</v>
      </c>
      <c r="H12" s="3">
        <f t="shared" si="3"/>
        <v>65475</v>
      </c>
      <c r="I12" s="4" t="s">
        <v>139</v>
      </c>
      <c r="J12" s="7" t="s">
        <v>20</v>
      </c>
    </row>
    <row r="13" spans="1:13" x14ac:dyDescent="0.25">
      <c r="A13" s="1">
        <v>12</v>
      </c>
      <c r="B13" s="1" t="s">
        <v>140</v>
      </c>
      <c r="C13" s="1" t="s">
        <v>141</v>
      </c>
      <c r="D13" s="1">
        <v>25</v>
      </c>
      <c r="E13" s="1" t="s">
        <v>142</v>
      </c>
      <c r="F13" s="2">
        <v>0.23</v>
      </c>
      <c r="G13" s="6">
        <f t="shared" si="2"/>
        <v>5.75</v>
      </c>
      <c r="H13" s="3">
        <f t="shared" si="3"/>
        <v>150592.5</v>
      </c>
      <c r="I13" s="4" t="s">
        <v>143</v>
      </c>
      <c r="J13" s="7" t="s">
        <v>20</v>
      </c>
    </row>
    <row r="14" spans="1:13" x14ac:dyDescent="0.25">
      <c r="A14" s="1">
        <v>13</v>
      </c>
      <c r="B14" s="1" t="s">
        <v>144</v>
      </c>
      <c r="C14" s="1" t="s">
        <v>145</v>
      </c>
      <c r="D14" s="1">
        <v>25</v>
      </c>
      <c r="E14" s="1" t="s">
        <v>146</v>
      </c>
      <c r="F14" s="2">
        <v>0.23</v>
      </c>
      <c r="G14" s="6">
        <f t="shared" si="2"/>
        <v>5.75</v>
      </c>
      <c r="H14" s="3">
        <f t="shared" si="3"/>
        <v>150592.5</v>
      </c>
      <c r="I14" s="4" t="s">
        <v>147</v>
      </c>
      <c r="J14" s="7" t="s">
        <v>20</v>
      </c>
    </row>
    <row r="15" spans="1:13" x14ac:dyDescent="0.25">
      <c r="A15" s="1">
        <v>14</v>
      </c>
      <c r="B15" s="1" t="s">
        <v>148</v>
      </c>
      <c r="C15" s="1" t="s">
        <v>149</v>
      </c>
      <c r="D15" s="1">
        <v>25</v>
      </c>
      <c r="E15" s="1" t="s">
        <v>150</v>
      </c>
      <c r="F15" s="8">
        <v>0.1</v>
      </c>
      <c r="G15" s="9">
        <f t="shared" si="2"/>
        <v>2.5</v>
      </c>
      <c r="H15" s="10">
        <f t="shared" si="3"/>
        <v>65475</v>
      </c>
      <c r="I15" s="11" t="s">
        <v>151</v>
      </c>
      <c r="J15" s="7" t="s">
        <v>20</v>
      </c>
    </row>
    <row r="16" spans="1:13" x14ac:dyDescent="0.25">
      <c r="A16" s="1">
        <v>15</v>
      </c>
      <c r="B16" s="1" t="s">
        <v>152</v>
      </c>
      <c r="C16" s="1" t="s">
        <v>153</v>
      </c>
      <c r="D16" s="1">
        <v>25</v>
      </c>
      <c r="E16" s="1" t="s">
        <v>154</v>
      </c>
      <c r="F16" s="8">
        <v>2E-3</v>
      </c>
      <c r="G16" s="9">
        <f t="shared" si="2"/>
        <v>0.05</v>
      </c>
      <c r="H16" s="10">
        <f t="shared" si="3"/>
        <v>1309.5</v>
      </c>
      <c r="I16" s="11" t="s">
        <v>155</v>
      </c>
      <c r="J16" s="7" t="s">
        <v>20</v>
      </c>
    </row>
    <row r="17" spans="1:10" x14ac:dyDescent="0.25">
      <c r="A17" s="1">
        <v>16</v>
      </c>
      <c r="B17" s="1" t="s">
        <v>156</v>
      </c>
      <c r="C17" s="1" t="s">
        <v>157</v>
      </c>
      <c r="D17" s="1">
        <v>25</v>
      </c>
      <c r="E17" s="1" t="s">
        <v>158</v>
      </c>
      <c r="F17" s="8">
        <v>0.1</v>
      </c>
      <c r="G17" s="9">
        <f t="shared" si="2"/>
        <v>2.5</v>
      </c>
      <c r="H17" s="10">
        <f t="shared" si="3"/>
        <v>65475</v>
      </c>
      <c r="I17" s="11" t="s">
        <v>159</v>
      </c>
      <c r="J17" s="7" t="s">
        <v>20</v>
      </c>
    </row>
    <row r="18" spans="1:10" x14ac:dyDescent="0.25">
      <c r="A18" s="1">
        <v>17</v>
      </c>
      <c r="B18" s="1" t="s">
        <v>160</v>
      </c>
      <c r="C18" s="1" t="s">
        <v>161</v>
      </c>
      <c r="D18" s="1">
        <v>25</v>
      </c>
      <c r="E18" s="7" t="s">
        <v>162</v>
      </c>
      <c r="F18" s="8">
        <v>0.1</v>
      </c>
      <c r="G18" s="9">
        <f t="shared" si="2"/>
        <v>2.5</v>
      </c>
      <c r="H18" s="10">
        <f t="shared" si="3"/>
        <v>65475</v>
      </c>
      <c r="I18" s="11" t="s">
        <v>163</v>
      </c>
      <c r="J18" s="7" t="s">
        <v>20</v>
      </c>
    </row>
    <row r="19" spans="1:10" x14ac:dyDescent="0.25">
      <c r="A19" s="1">
        <v>18</v>
      </c>
      <c r="B19" s="1" t="s">
        <v>164</v>
      </c>
      <c r="C19" s="1" t="s">
        <v>165</v>
      </c>
      <c r="D19" s="1">
        <v>25</v>
      </c>
      <c r="E19" s="7" t="s">
        <v>166</v>
      </c>
      <c r="F19" s="8">
        <v>0.31</v>
      </c>
      <c r="G19" s="9">
        <f t="shared" si="2"/>
        <v>7.75</v>
      </c>
      <c r="H19" s="10">
        <f t="shared" si="3"/>
        <v>202972.5</v>
      </c>
      <c r="I19" s="11" t="s">
        <v>167</v>
      </c>
      <c r="J19" s="7" t="s">
        <v>20</v>
      </c>
    </row>
    <row r="20" spans="1:10" x14ac:dyDescent="0.25">
      <c r="A20" s="1">
        <v>19</v>
      </c>
      <c r="B20" s="1" t="s">
        <v>168</v>
      </c>
      <c r="C20" s="1" t="s">
        <v>169</v>
      </c>
      <c r="D20" s="1">
        <v>25</v>
      </c>
      <c r="E20" s="1" t="s">
        <v>170</v>
      </c>
      <c r="F20" s="8">
        <v>0.12</v>
      </c>
      <c r="G20" s="9">
        <f t="shared" si="2"/>
        <v>3</v>
      </c>
      <c r="H20" s="10">
        <f t="shared" si="3"/>
        <v>78570</v>
      </c>
      <c r="I20" s="11" t="s">
        <v>171</v>
      </c>
      <c r="J20" s="7" t="s">
        <v>20</v>
      </c>
    </row>
    <row r="21" spans="1:10" x14ac:dyDescent="0.25">
      <c r="A21" s="1">
        <v>20</v>
      </c>
      <c r="B21" s="1" t="s">
        <v>172</v>
      </c>
      <c r="C21" s="1" t="s">
        <v>173</v>
      </c>
      <c r="D21" s="1">
        <v>25</v>
      </c>
      <c r="E21" s="1" t="s">
        <v>174</v>
      </c>
      <c r="F21" s="8">
        <v>0.08</v>
      </c>
      <c r="G21" s="9">
        <f t="shared" si="2"/>
        <v>2</v>
      </c>
      <c r="H21" s="10">
        <f t="shared" si="3"/>
        <v>52380</v>
      </c>
      <c r="I21" s="11" t="s">
        <v>175</v>
      </c>
      <c r="J21" s="7" t="s">
        <v>20</v>
      </c>
    </row>
    <row r="22" spans="1:10" x14ac:dyDescent="0.25">
      <c r="A22" s="1">
        <v>21</v>
      </c>
      <c r="B22" s="1" t="s">
        <v>176</v>
      </c>
      <c r="C22" s="1" t="s">
        <v>177</v>
      </c>
      <c r="D22" s="1">
        <v>25</v>
      </c>
      <c r="E22" s="1" t="s">
        <v>178</v>
      </c>
      <c r="F22" s="8">
        <v>0.41</v>
      </c>
      <c r="G22" s="9">
        <f t="shared" si="2"/>
        <v>10.25</v>
      </c>
      <c r="H22" s="10">
        <f t="shared" si="3"/>
        <v>268447.5</v>
      </c>
      <c r="I22" s="11" t="s">
        <v>179</v>
      </c>
      <c r="J22" s="7" t="s">
        <v>20</v>
      </c>
    </row>
    <row r="23" spans="1:10" x14ac:dyDescent="0.25">
      <c r="A23" s="1">
        <v>22</v>
      </c>
      <c r="B23" s="1" t="s">
        <v>180</v>
      </c>
      <c r="C23" s="1" t="s">
        <v>181</v>
      </c>
      <c r="D23" s="1">
        <v>25</v>
      </c>
      <c r="E23" s="1" t="s">
        <v>182</v>
      </c>
      <c r="F23" s="2">
        <v>1.4800000000000001E-2</v>
      </c>
      <c r="G23" s="6">
        <f t="shared" si="2"/>
        <v>0.37</v>
      </c>
      <c r="H23" s="3">
        <f t="shared" si="3"/>
        <v>9690.2999999999993</v>
      </c>
      <c r="I23" s="4" t="s">
        <v>183</v>
      </c>
      <c r="J23" s="7" t="s">
        <v>20</v>
      </c>
    </row>
    <row r="24" spans="1:10" x14ac:dyDescent="0.25">
      <c r="A24" s="1">
        <v>23</v>
      </c>
      <c r="B24" s="1" t="s">
        <v>184</v>
      </c>
      <c r="C24" s="1" t="s">
        <v>185</v>
      </c>
      <c r="D24" s="1">
        <v>25</v>
      </c>
      <c r="E24" s="1" t="s">
        <v>186</v>
      </c>
      <c r="F24" s="2">
        <v>2.5000000000000001E-2</v>
      </c>
      <c r="G24" s="6">
        <f t="shared" si="2"/>
        <v>0.625</v>
      </c>
      <c r="H24" s="3">
        <f t="shared" si="3"/>
        <v>16368.75</v>
      </c>
      <c r="I24" s="4" t="s">
        <v>187</v>
      </c>
      <c r="J24" s="7" t="s">
        <v>20</v>
      </c>
    </row>
    <row r="25" spans="1:10" x14ac:dyDescent="0.25">
      <c r="A25" s="1">
        <v>24</v>
      </c>
      <c r="B25" s="1" t="s">
        <v>188</v>
      </c>
      <c r="C25" s="1" t="s">
        <v>189</v>
      </c>
      <c r="D25" s="1">
        <v>25</v>
      </c>
      <c r="E25" s="1" t="s">
        <v>190</v>
      </c>
      <c r="F25" s="2">
        <v>1.822E-2</v>
      </c>
      <c r="G25" s="6">
        <f t="shared" si="2"/>
        <v>0.45550000000000002</v>
      </c>
      <c r="H25" s="3">
        <f t="shared" si="3"/>
        <v>11929.545</v>
      </c>
      <c r="I25" s="4" t="s">
        <v>191</v>
      </c>
      <c r="J25" s="7" t="s">
        <v>20</v>
      </c>
    </row>
  </sheetData>
  <hyperlinks>
    <hyperlink ref="I2" r:id="rId1" xr:uid="{38747626-78D5-4F1C-9894-08DA613AFE9F}"/>
    <hyperlink ref="I3" r:id="rId2" xr:uid="{7A917493-CF93-4254-A7DD-A16A2A344485}"/>
    <hyperlink ref="I4" r:id="rId3" xr:uid="{804077FB-8398-4B1B-9241-AFEA936B4D25}"/>
    <hyperlink ref="I5" r:id="rId4" xr:uid="{27E26971-EEAC-4E37-B8CE-8D885A36936E}"/>
    <hyperlink ref="I6" r:id="rId5" xr:uid="{CA97275A-2F74-4F0D-89F9-A3C02CD3D821}"/>
    <hyperlink ref="I7" r:id="rId6" xr:uid="{9F8AD4BA-1777-46FD-BE28-34581C871E5C}"/>
    <hyperlink ref="I8" r:id="rId7" xr:uid="{F8E0BB3C-E135-4E1F-8460-C78BB2E7F839}"/>
    <hyperlink ref="I9" r:id="rId8" xr:uid="{593BE51F-13F4-41FF-8096-7AA8A8990093}"/>
    <hyperlink ref="I11" r:id="rId9" xr:uid="{1DCDE82E-3FD0-4878-AB20-D7C937DE0795}"/>
    <hyperlink ref="I10" r:id="rId10" xr:uid="{30D2ADE5-E708-4815-ADB1-EE8938495187}"/>
    <hyperlink ref="I12" r:id="rId11" xr:uid="{60CFB69F-3199-4FAE-BB21-5EC61688F29B}"/>
    <hyperlink ref="I13" r:id="rId12" xr:uid="{04E31421-B904-4CA7-AD74-3DC909AD3226}"/>
    <hyperlink ref="I14" r:id="rId13" display="https://www.digikey.com/en/products/detail/vishay-dale/tnpw06031k78beea/1606793" xr:uid="{1875E155-1907-4DF9-91DB-0014BB9F8C3F}"/>
    <hyperlink ref="I15" r:id="rId14" xr:uid="{25C416EA-323F-4FCC-8B6C-DC0AFABA833C}"/>
    <hyperlink ref="I16" r:id="rId15" xr:uid="{A757DEC1-2F82-43FA-9E63-1111F2BAD843}"/>
    <hyperlink ref="I17" r:id="rId16" xr:uid="{2D0E60E3-5152-49CF-B9D2-578D51C5DB0D}"/>
    <hyperlink ref="I18" r:id="rId17" xr:uid="{8071278A-62E5-4542-8B77-CBC1A8AAD179}"/>
    <hyperlink ref="I19" r:id="rId18" xr:uid="{91BD283D-421F-438C-9F25-CBADB4E27ECE}"/>
    <hyperlink ref="I20" r:id="rId19" xr:uid="{8B9F8BF3-84BC-4B37-8932-683EBEB20293}"/>
    <hyperlink ref="I21" r:id="rId20" xr:uid="{66CB5070-6EBE-4C08-B5E7-4FE9FC7E246E}"/>
    <hyperlink ref="I22" r:id="rId21" xr:uid="{31230F29-39B7-4598-A669-723B6F0627CE}"/>
    <hyperlink ref="I23" r:id="rId22" xr:uid="{21042426-1295-4E5C-BFB0-06EF983C3593}"/>
    <hyperlink ref="I24" r:id="rId23" xr:uid="{06C02936-CB8C-4A39-B06E-70A23AE4C588}"/>
    <hyperlink ref="I25" r:id="rId24" xr:uid="{9F648D5F-84BC-4218-949E-A7E3D8B8169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1CC9-E78F-458E-ADF2-BC6745158A7A}">
  <dimension ref="A1:M22"/>
  <sheetViews>
    <sheetView topLeftCell="A16" workbookViewId="0">
      <selection activeCell="J1" sqref="J1"/>
    </sheetView>
  </sheetViews>
  <sheetFormatPr defaultRowHeight="15" x14ac:dyDescent="0.25"/>
  <cols>
    <col min="1" max="1" width="7.140625" customWidth="1"/>
    <col min="2" max="2" width="30.42578125" bestFit="1" customWidth="1"/>
    <col min="3" max="3" width="22.140625" bestFit="1" customWidth="1"/>
    <col min="4" max="4" width="8.42578125" bestFit="1" customWidth="1"/>
    <col min="5" max="5" width="33.5703125" bestFit="1" customWidth="1"/>
    <col min="6" max="6" width="13" bestFit="1" customWidth="1"/>
    <col min="7" max="7" width="13.42578125" customWidth="1"/>
    <col min="8" max="8" width="16.7109375" customWidth="1"/>
    <col min="9" max="9" width="37" customWidth="1"/>
    <col min="10" max="10" width="6.140625" customWidth="1"/>
    <col min="11" max="11" width="3.7109375" customWidth="1"/>
    <col min="12" max="12" width="14.5703125" customWidth="1"/>
    <col min="13" max="13" width="17.85546875" customWidth="1"/>
  </cols>
  <sheetData>
    <row r="1" spans="1:13" ht="15" customHeight="1" x14ac:dyDescent="0.25">
      <c r="A1" s="12" t="s">
        <v>0</v>
      </c>
      <c r="B1" s="13" t="s">
        <v>1</v>
      </c>
      <c r="C1" s="14" t="s">
        <v>2</v>
      </c>
      <c r="D1" s="13" t="s">
        <v>192</v>
      </c>
      <c r="E1" s="15" t="s">
        <v>4</v>
      </c>
      <c r="F1" s="15" t="s">
        <v>5</v>
      </c>
      <c r="G1" s="15" t="s">
        <v>193</v>
      </c>
      <c r="H1" s="5" t="s">
        <v>7</v>
      </c>
      <c r="I1" s="14" t="s">
        <v>8</v>
      </c>
      <c r="J1" s="12" t="s">
        <v>9</v>
      </c>
    </row>
    <row r="2" spans="1:13" ht="15" customHeight="1" x14ac:dyDescent="0.25">
      <c r="A2" s="7">
        <v>1</v>
      </c>
      <c r="B2" s="1" t="s">
        <v>10</v>
      </c>
      <c r="C2" s="1" t="s">
        <v>11</v>
      </c>
      <c r="D2" s="1">
        <v>30</v>
      </c>
      <c r="E2" s="1" t="s">
        <v>12</v>
      </c>
      <c r="F2" s="6">
        <v>1.1399999999999999</v>
      </c>
      <c r="G2" s="6">
        <f t="shared" ref="G2:G22" si="0">F2*D2</f>
        <v>34.199999999999996</v>
      </c>
      <c r="H2" s="23">
        <f>G2*26190</f>
        <v>895697.99999999988</v>
      </c>
      <c r="I2" s="4" t="s">
        <v>13</v>
      </c>
      <c r="J2" s="16" t="s">
        <v>194</v>
      </c>
    </row>
    <row r="3" spans="1:13" ht="15" customHeight="1" x14ac:dyDescent="0.25">
      <c r="A3" s="7">
        <v>2</v>
      </c>
      <c r="B3" s="7" t="s">
        <v>195</v>
      </c>
      <c r="C3" s="7" t="s">
        <v>196</v>
      </c>
      <c r="D3" s="7">
        <v>50</v>
      </c>
      <c r="E3" s="7" t="s">
        <v>197</v>
      </c>
      <c r="F3" s="9">
        <v>2.24E-2</v>
      </c>
      <c r="G3" s="9">
        <f t="shared" si="0"/>
        <v>1.1199999999999999</v>
      </c>
      <c r="H3" s="23">
        <f t="shared" ref="H3:H22" si="1">G3*26190</f>
        <v>29332.799999999996</v>
      </c>
      <c r="I3" s="11" t="s">
        <v>198</v>
      </c>
      <c r="J3" s="22" t="s">
        <v>194</v>
      </c>
    </row>
    <row r="4" spans="1:13" ht="15" customHeight="1" x14ac:dyDescent="0.25">
      <c r="A4" s="7">
        <v>3</v>
      </c>
      <c r="B4" s="7" t="s">
        <v>199</v>
      </c>
      <c r="C4" s="7" t="s">
        <v>200</v>
      </c>
      <c r="D4" s="7">
        <v>50</v>
      </c>
      <c r="E4" s="7" t="s">
        <v>201</v>
      </c>
      <c r="F4" s="9">
        <v>5.1999999999999998E-3</v>
      </c>
      <c r="G4" s="9">
        <f t="shared" si="0"/>
        <v>0.26</v>
      </c>
      <c r="H4" s="23">
        <f t="shared" si="1"/>
        <v>6809.4000000000005</v>
      </c>
      <c r="I4" s="11" t="s">
        <v>202</v>
      </c>
      <c r="J4" s="22" t="s">
        <v>194</v>
      </c>
    </row>
    <row r="5" spans="1:13" ht="15" customHeight="1" x14ac:dyDescent="0.25">
      <c r="A5" s="7">
        <v>4</v>
      </c>
      <c r="B5" s="7" t="s">
        <v>203</v>
      </c>
      <c r="C5" s="7" t="s">
        <v>204</v>
      </c>
      <c r="D5" s="7">
        <v>20</v>
      </c>
      <c r="E5" s="7" t="s">
        <v>205</v>
      </c>
      <c r="F5" s="9">
        <v>7.3999999999999996E-2</v>
      </c>
      <c r="G5" s="9">
        <f t="shared" si="0"/>
        <v>1.48</v>
      </c>
      <c r="H5" s="23">
        <f t="shared" si="1"/>
        <v>38761.199999999997</v>
      </c>
      <c r="I5" s="11" t="s">
        <v>206</v>
      </c>
      <c r="J5" s="22" t="s">
        <v>194</v>
      </c>
    </row>
    <row r="6" spans="1:13" ht="15" customHeight="1" x14ac:dyDescent="0.25">
      <c r="A6" s="7">
        <v>5</v>
      </c>
      <c r="B6" s="7" t="s">
        <v>207</v>
      </c>
      <c r="C6" s="7" t="s">
        <v>208</v>
      </c>
      <c r="D6" s="7">
        <v>100</v>
      </c>
      <c r="E6" s="7" t="s">
        <v>209</v>
      </c>
      <c r="F6" s="9">
        <v>3.5999999999999999E-3</v>
      </c>
      <c r="G6" s="9">
        <f t="shared" si="0"/>
        <v>0.36</v>
      </c>
      <c r="H6" s="23">
        <f t="shared" si="1"/>
        <v>9428.4</v>
      </c>
      <c r="I6" s="11" t="s">
        <v>210</v>
      </c>
      <c r="J6" s="22" t="s">
        <v>194</v>
      </c>
    </row>
    <row r="7" spans="1:13" ht="15" customHeight="1" x14ac:dyDescent="0.25">
      <c r="A7" s="7">
        <v>6</v>
      </c>
      <c r="B7" s="7" t="s">
        <v>211</v>
      </c>
      <c r="C7" s="7" t="s">
        <v>212</v>
      </c>
      <c r="D7" s="7">
        <v>50</v>
      </c>
      <c r="E7" s="7" t="s">
        <v>213</v>
      </c>
      <c r="F7" s="9">
        <v>5.1999999999999998E-3</v>
      </c>
      <c r="G7" s="9">
        <f t="shared" si="0"/>
        <v>0.26</v>
      </c>
      <c r="H7" s="23">
        <f t="shared" si="1"/>
        <v>6809.4000000000005</v>
      </c>
      <c r="I7" s="11" t="s">
        <v>214</v>
      </c>
      <c r="J7" s="22" t="s">
        <v>194</v>
      </c>
    </row>
    <row r="8" spans="1:13" ht="15" customHeight="1" x14ac:dyDescent="0.25">
      <c r="A8" s="7">
        <v>7</v>
      </c>
      <c r="B8" s="7" t="s">
        <v>215</v>
      </c>
      <c r="C8" s="7" t="s">
        <v>216</v>
      </c>
      <c r="D8" s="7">
        <v>50</v>
      </c>
      <c r="E8" s="7" t="s">
        <v>217</v>
      </c>
      <c r="F8" s="9">
        <v>2.01E-2</v>
      </c>
      <c r="G8" s="9">
        <f t="shared" si="0"/>
        <v>1.0049999999999999</v>
      </c>
      <c r="H8" s="23">
        <f t="shared" si="1"/>
        <v>26320.949999999997</v>
      </c>
      <c r="I8" s="11" t="s">
        <v>218</v>
      </c>
      <c r="J8" s="22" t="s">
        <v>194</v>
      </c>
    </row>
    <row r="9" spans="1:13" ht="15" customHeight="1" x14ac:dyDescent="0.25">
      <c r="A9" s="7">
        <v>8</v>
      </c>
      <c r="B9" s="7" t="s">
        <v>219</v>
      </c>
      <c r="C9" s="7" t="s">
        <v>220</v>
      </c>
      <c r="D9" s="7">
        <v>6</v>
      </c>
      <c r="E9" s="7" t="s">
        <v>221</v>
      </c>
      <c r="F9" s="9">
        <v>0.61</v>
      </c>
      <c r="G9" s="9">
        <f t="shared" si="0"/>
        <v>3.66</v>
      </c>
      <c r="H9" s="23">
        <f t="shared" si="1"/>
        <v>95855.400000000009</v>
      </c>
      <c r="I9" s="11" t="s">
        <v>222</v>
      </c>
      <c r="J9" s="22" t="s">
        <v>194</v>
      </c>
    </row>
    <row r="10" spans="1:13" ht="15" customHeight="1" x14ac:dyDescent="0.25">
      <c r="A10" s="7">
        <v>9</v>
      </c>
      <c r="B10" s="7" t="s">
        <v>223</v>
      </c>
      <c r="C10" s="7" t="s">
        <v>224</v>
      </c>
      <c r="D10" s="7">
        <v>100</v>
      </c>
      <c r="E10" s="7" t="s">
        <v>225</v>
      </c>
      <c r="F10" s="9">
        <v>7.0000000000000007E-2</v>
      </c>
      <c r="G10" s="9">
        <f t="shared" si="0"/>
        <v>7.0000000000000009</v>
      </c>
      <c r="H10" s="23">
        <f t="shared" si="1"/>
        <v>183330.00000000003</v>
      </c>
      <c r="I10" s="11" t="s">
        <v>226</v>
      </c>
      <c r="J10" s="22" t="s">
        <v>194</v>
      </c>
    </row>
    <row r="11" spans="1:13" ht="15" customHeight="1" x14ac:dyDescent="0.25">
      <c r="A11" s="7">
        <v>10</v>
      </c>
      <c r="B11" s="7" t="s">
        <v>227</v>
      </c>
      <c r="C11" s="7" t="s">
        <v>228</v>
      </c>
      <c r="D11" s="7">
        <v>6</v>
      </c>
      <c r="E11" s="7" t="s">
        <v>229</v>
      </c>
      <c r="F11" s="9">
        <v>0.67</v>
      </c>
      <c r="G11" s="9">
        <f t="shared" si="0"/>
        <v>4.0200000000000005</v>
      </c>
      <c r="H11" s="23">
        <f t="shared" si="1"/>
        <v>105283.80000000002</v>
      </c>
      <c r="I11" s="11" t="s">
        <v>230</v>
      </c>
      <c r="J11" s="22" t="s">
        <v>194</v>
      </c>
    </row>
    <row r="12" spans="1:13" ht="15" customHeight="1" x14ac:dyDescent="0.25">
      <c r="A12" s="7">
        <v>11</v>
      </c>
      <c r="B12" s="7" t="s">
        <v>231</v>
      </c>
      <c r="C12" s="7" t="s">
        <v>232</v>
      </c>
      <c r="D12" s="7">
        <v>50</v>
      </c>
      <c r="E12" s="7" t="s">
        <v>233</v>
      </c>
      <c r="F12" s="9">
        <v>2.0199999999999999E-2</v>
      </c>
      <c r="G12" s="9">
        <f t="shared" si="0"/>
        <v>1.01</v>
      </c>
      <c r="H12" s="23">
        <f t="shared" si="1"/>
        <v>26451.9</v>
      </c>
      <c r="I12" s="11" t="s">
        <v>230</v>
      </c>
      <c r="J12" s="22" t="s">
        <v>194</v>
      </c>
      <c r="L12" s="1" t="s">
        <v>15</v>
      </c>
      <c r="M12" s="2">
        <f>SUM($G$2:$G$22)</f>
        <v>208.42099999999996</v>
      </c>
    </row>
    <row r="13" spans="1:13" ht="15" customHeight="1" x14ac:dyDescent="0.25">
      <c r="A13" s="7">
        <v>12</v>
      </c>
      <c r="B13" s="7" t="s">
        <v>234</v>
      </c>
      <c r="C13" s="7" t="s">
        <v>235</v>
      </c>
      <c r="D13" s="7">
        <v>6</v>
      </c>
      <c r="E13" s="7" t="s">
        <v>236</v>
      </c>
      <c r="F13" s="9">
        <v>0.46</v>
      </c>
      <c r="G13" s="9">
        <f t="shared" si="0"/>
        <v>2.7600000000000002</v>
      </c>
      <c r="H13" s="23">
        <f t="shared" si="1"/>
        <v>72284.400000000009</v>
      </c>
      <c r="I13" s="11" t="s">
        <v>237</v>
      </c>
      <c r="J13" s="22" t="s">
        <v>194</v>
      </c>
      <c r="L13" s="17" t="s">
        <v>21</v>
      </c>
      <c r="M13" s="18">
        <f>SUM(H2:H22)</f>
        <v>5458545.9900000002</v>
      </c>
    </row>
    <row r="14" spans="1:13" ht="15" customHeight="1" x14ac:dyDescent="0.25">
      <c r="A14" s="7">
        <v>13</v>
      </c>
      <c r="B14" s="7" t="s">
        <v>238</v>
      </c>
      <c r="C14" s="7" t="s">
        <v>239</v>
      </c>
      <c r="D14" s="7">
        <v>50</v>
      </c>
      <c r="E14" s="7" t="s">
        <v>240</v>
      </c>
      <c r="F14" s="9">
        <v>2.3E-2</v>
      </c>
      <c r="G14" s="9">
        <f t="shared" si="0"/>
        <v>1.1499999999999999</v>
      </c>
      <c r="H14" s="23">
        <f t="shared" si="1"/>
        <v>30118.499999999996</v>
      </c>
      <c r="I14" s="11" t="s">
        <v>241</v>
      </c>
      <c r="J14" s="22" t="s">
        <v>194</v>
      </c>
      <c r="L14" s="1" t="s">
        <v>26</v>
      </c>
      <c r="M14" s="19">
        <f>$M$12*31.63</f>
        <v>6592.3562299999985</v>
      </c>
    </row>
    <row r="15" spans="1:13" ht="15" customHeight="1" x14ac:dyDescent="0.25">
      <c r="A15" s="7">
        <v>14</v>
      </c>
      <c r="B15" s="7" t="s">
        <v>242</v>
      </c>
      <c r="C15" s="7" t="s">
        <v>243</v>
      </c>
      <c r="D15" s="7">
        <v>6</v>
      </c>
      <c r="E15" s="7" t="s">
        <v>244</v>
      </c>
      <c r="F15" s="9">
        <v>0.46</v>
      </c>
      <c r="G15" s="9">
        <f t="shared" si="0"/>
        <v>2.7600000000000002</v>
      </c>
      <c r="H15" s="23">
        <f t="shared" si="1"/>
        <v>72284.400000000009</v>
      </c>
      <c r="I15" s="11" t="s">
        <v>245</v>
      </c>
      <c r="J15" s="22" t="s">
        <v>194</v>
      </c>
    </row>
    <row r="16" spans="1:13" ht="15" customHeight="1" x14ac:dyDescent="0.25">
      <c r="A16" s="7">
        <v>15</v>
      </c>
      <c r="B16" s="7" t="s">
        <v>246</v>
      </c>
      <c r="C16" s="7" t="s">
        <v>247</v>
      </c>
      <c r="D16" s="7">
        <v>15</v>
      </c>
      <c r="E16" s="7" t="s">
        <v>248</v>
      </c>
      <c r="F16" s="9">
        <v>1.2624</v>
      </c>
      <c r="G16" s="9">
        <f t="shared" si="0"/>
        <v>18.936</v>
      </c>
      <c r="H16" s="23">
        <f t="shared" si="1"/>
        <v>495933.84</v>
      </c>
      <c r="I16" s="11" t="s">
        <v>249</v>
      </c>
      <c r="J16" s="22" t="s">
        <v>194</v>
      </c>
    </row>
    <row r="17" spans="1:10" ht="15" customHeight="1" x14ac:dyDescent="0.25">
      <c r="A17" s="7">
        <v>16</v>
      </c>
      <c r="B17" s="7" t="s">
        <v>250</v>
      </c>
      <c r="C17" s="7" t="s">
        <v>251</v>
      </c>
      <c r="D17" s="7">
        <v>10</v>
      </c>
      <c r="E17" s="7" t="s">
        <v>252</v>
      </c>
      <c r="F17" s="9">
        <v>4.7679999999999998</v>
      </c>
      <c r="G17" s="9">
        <f t="shared" si="0"/>
        <v>47.68</v>
      </c>
      <c r="H17" s="23">
        <f t="shared" si="1"/>
        <v>1248739.2</v>
      </c>
      <c r="I17" s="11" t="s">
        <v>253</v>
      </c>
      <c r="J17" s="22" t="s">
        <v>194</v>
      </c>
    </row>
    <row r="18" spans="1:10" ht="15" customHeight="1" x14ac:dyDescent="0.25">
      <c r="A18" s="7">
        <v>17</v>
      </c>
      <c r="B18" s="7" t="s">
        <v>254</v>
      </c>
      <c r="C18" s="7" t="s">
        <v>255</v>
      </c>
      <c r="D18" s="7">
        <v>10</v>
      </c>
      <c r="E18" s="7" t="s">
        <v>256</v>
      </c>
      <c r="F18" s="9">
        <v>5.3999999999999999E-2</v>
      </c>
      <c r="G18" s="9">
        <f t="shared" si="0"/>
        <v>0.54</v>
      </c>
      <c r="H18" s="23">
        <f t="shared" si="1"/>
        <v>14142.6</v>
      </c>
      <c r="I18" s="11" t="s">
        <v>257</v>
      </c>
      <c r="J18" s="22" t="s">
        <v>194</v>
      </c>
    </row>
    <row r="19" spans="1:10" ht="15" customHeight="1" x14ac:dyDescent="0.25">
      <c r="A19" s="7">
        <v>18</v>
      </c>
      <c r="B19" s="7" t="s">
        <v>258</v>
      </c>
      <c r="C19" s="7" t="s">
        <v>259</v>
      </c>
      <c r="D19" s="7">
        <v>15</v>
      </c>
      <c r="E19" s="7" t="s">
        <v>260</v>
      </c>
      <c r="F19" s="9">
        <v>0.96</v>
      </c>
      <c r="G19" s="9">
        <f t="shared" si="0"/>
        <v>14.399999999999999</v>
      </c>
      <c r="H19" s="23">
        <f t="shared" si="1"/>
        <v>377135.99999999994</v>
      </c>
      <c r="I19" s="11" t="s">
        <v>261</v>
      </c>
      <c r="J19" s="22" t="s">
        <v>194</v>
      </c>
    </row>
    <row r="20" spans="1:10" ht="15" customHeight="1" x14ac:dyDescent="0.25">
      <c r="A20" s="7">
        <v>19</v>
      </c>
      <c r="B20" s="1" t="s">
        <v>262</v>
      </c>
      <c r="C20" s="1" t="s">
        <v>263</v>
      </c>
      <c r="D20" s="1">
        <v>15</v>
      </c>
      <c r="E20" s="1" t="s">
        <v>264</v>
      </c>
      <c r="F20" s="6">
        <v>0.50600000000000001</v>
      </c>
      <c r="G20" s="6">
        <f t="shared" si="0"/>
        <v>7.59</v>
      </c>
      <c r="H20" s="23">
        <f t="shared" si="1"/>
        <v>198782.1</v>
      </c>
      <c r="I20" s="4" t="s">
        <v>265</v>
      </c>
      <c r="J20" s="16" t="s">
        <v>194</v>
      </c>
    </row>
    <row r="21" spans="1:10" ht="15" customHeight="1" x14ac:dyDescent="0.25">
      <c r="A21" s="7">
        <v>20</v>
      </c>
      <c r="B21" s="1" t="s">
        <v>266</v>
      </c>
      <c r="C21" s="1" t="s">
        <v>267</v>
      </c>
      <c r="D21" s="1">
        <v>15</v>
      </c>
      <c r="E21" s="1" t="s">
        <v>268</v>
      </c>
      <c r="F21" s="6">
        <v>1.1479999999999999</v>
      </c>
      <c r="G21" s="6">
        <f t="shared" si="0"/>
        <v>17.22</v>
      </c>
      <c r="H21" s="23">
        <f t="shared" si="1"/>
        <v>450991.8</v>
      </c>
      <c r="I21" s="4" t="s">
        <v>269</v>
      </c>
      <c r="J21" s="16" t="s">
        <v>194</v>
      </c>
    </row>
    <row r="22" spans="1:10" ht="15" customHeight="1" x14ac:dyDescent="0.25">
      <c r="A22" s="7">
        <v>21</v>
      </c>
      <c r="B22" s="21" t="s">
        <v>270</v>
      </c>
      <c r="C22" s="21" t="s">
        <v>271</v>
      </c>
      <c r="D22" s="1">
        <v>3</v>
      </c>
      <c r="E22" s="21" t="s">
        <v>272</v>
      </c>
      <c r="F22" s="21">
        <v>13.67</v>
      </c>
      <c r="G22" s="6">
        <f t="shared" si="0"/>
        <v>41.01</v>
      </c>
      <c r="H22" s="23">
        <f t="shared" si="1"/>
        <v>1074051.8999999999</v>
      </c>
      <c r="I22" s="4" t="s">
        <v>273</v>
      </c>
      <c r="J22" s="16" t="s">
        <v>194</v>
      </c>
    </row>
  </sheetData>
  <hyperlinks>
    <hyperlink ref="I2" r:id="rId1" xr:uid="{5B84AD3E-4A3E-4B58-8343-D4CB93B65B53}"/>
    <hyperlink ref="I19" r:id="rId2" xr:uid="{4B219A36-1C65-4F70-B2F4-9A1854612C52}"/>
    <hyperlink ref="I3" r:id="rId3" xr:uid="{E2EAC09D-A119-4C82-8AFC-4E42D2037246}"/>
    <hyperlink ref="I4" r:id="rId4" xr:uid="{50D3F52C-2BF5-4AC2-9692-75B9C21782C2}"/>
    <hyperlink ref="I5" r:id="rId5" xr:uid="{FD3454CA-40E4-4BAB-AF38-8CE050BF5D6B}"/>
    <hyperlink ref="I6" r:id="rId6" xr:uid="{B363CA7B-7109-4E39-8703-6CFEC712D853}"/>
    <hyperlink ref="I7" r:id="rId7" xr:uid="{1A545049-E523-47EE-BA71-A18170510CE2}"/>
    <hyperlink ref="I8" r:id="rId8" xr:uid="{15D7974D-E56F-48A6-83A4-2F611F3B161E}"/>
    <hyperlink ref="I9" r:id="rId9" xr:uid="{6BC1CDE1-7BDF-45CA-BAF3-F65A48D6C2AD}"/>
    <hyperlink ref="I10" r:id="rId10" xr:uid="{07E1D2CA-4568-45B3-8D8E-E28286C8F899}"/>
    <hyperlink ref="I11" r:id="rId11" xr:uid="{116206CC-3FE9-4603-B5FE-09F9CC23F398}"/>
    <hyperlink ref="I12" r:id="rId12" xr:uid="{EA2DB9DB-E5AF-45A6-BC1A-2FFEB4C8AD5D}"/>
    <hyperlink ref="I13" r:id="rId13" xr:uid="{B91C6CD6-0840-4B25-8F3D-E9635DF19B7C}"/>
    <hyperlink ref="I14" r:id="rId14" xr:uid="{F95FF4F7-4232-400B-95B7-33F29A744338}"/>
    <hyperlink ref="I15" r:id="rId15" xr:uid="{CE87DB57-2D88-46E0-B864-92EFA2014BF7}"/>
    <hyperlink ref="I16" r:id="rId16" xr:uid="{34FF02EE-3139-4467-9A06-9D657C1C8AFD}"/>
    <hyperlink ref="I17" r:id="rId17" xr:uid="{2FF56D93-02D9-4179-8805-4D6D476024E4}"/>
    <hyperlink ref="I18" r:id="rId18" xr:uid="{1E0CB949-B573-47E6-9752-E5B2FE17C617}"/>
    <hyperlink ref="I20" r:id="rId19" xr:uid="{50576E2B-77FD-4361-816F-AB8B3F345D67}"/>
    <hyperlink ref="I21" r:id="rId20" xr:uid="{D65BC53B-17FA-4C3F-A9F5-246B5BAFA371}"/>
    <hyperlink ref="I22" r:id="rId21" xr:uid="{DE40465C-C2C8-4806-8882-2070532DF1B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3DA47-D828-4164-A56C-CE77BD203F1E}">
  <dimension ref="A1:L11"/>
  <sheetViews>
    <sheetView workbookViewId="0">
      <selection activeCell="A2" sqref="A2"/>
    </sheetView>
  </sheetViews>
  <sheetFormatPr defaultRowHeight="15" x14ac:dyDescent="0.25"/>
  <cols>
    <col min="1" max="1" width="3.85546875" bestFit="1" customWidth="1"/>
    <col min="2" max="2" width="22.42578125" customWidth="1"/>
    <col min="3" max="3" width="12.7109375" customWidth="1"/>
    <col min="4" max="4" width="10.5703125" customWidth="1"/>
    <col min="5" max="5" width="22.140625" customWidth="1"/>
    <col min="6" max="6" width="15.42578125" customWidth="1"/>
    <col min="7" max="7" width="13.140625" customWidth="1"/>
    <col min="8" max="8" width="16.7109375" customWidth="1"/>
    <col min="9" max="9" width="56.7109375" customWidth="1"/>
    <col min="10" max="10" width="11.85546875" customWidth="1"/>
    <col min="11" max="11" width="14.85546875" customWidth="1"/>
    <col min="12" max="12" width="17.5703125" customWidth="1"/>
  </cols>
  <sheetData>
    <row r="1" spans="1:12" ht="15" customHeight="1" x14ac:dyDescent="0.25">
      <c r="A1" s="12" t="s">
        <v>0</v>
      </c>
      <c r="B1" s="13" t="s">
        <v>1</v>
      </c>
      <c r="C1" s="14" t="s">
        <v>2</v>
      </c>
      <c r="D1" s="13" t="s">
        <v>192</v>
      </c>
      <c r="E1" s="15" t="s">
        <v>4</v>
      </c>
      <c r="F1" s="15" t="s">
        <v>5</v>
      </c>
      <c r="G1" s="15" t="s">
        <v>193</v>
      </c>
      <c r="H1" s="5" t="s">
        <v>7</v>
      </c>
      <c r="I1" s="14" t="s">
        <v>8</v>
      </c>
      <c r="J1" s="30" t="s">
        <v>9</v>
      </c>
    </row>
    <row r="2" spans="1:12" ht="15" customHeight="1" x14ac:dyDescent="0.25">
      <c r="A2" s="1">
        <v>1</v>
      </c>
      <c r="B2" s="1" t="s">
        <v>99</v>
      </c>
      <c r="C2" s="1" t="s">
        <v>100</v>
      </c>
      <c r="D2" s="1">
        <v>2</v>
      </c>
      <c r="E2" s="1" t="s">
        <v>101</v>
      </c>
      <c r="F2" s="20">
        <v>48.79</v>
      </c>
      <c r="G2" s="6">
        <f>F2*D2</f>
        <v>97.58</v>
      </c>
      <c r="H2" s="23">
        <f>G2*26190</f>
        <v>2555620.2000000002</v>
      </c>
      <c r="I2" s="29" t="s">
        <v>102</v>
      </c>
      <c r="J2" s="31" t="s">
        <v>103</v>
      </c>
    </row>
    <row r="3" spans="1:12" ht="15" customHeight="1" x14ac:dyDescent="0.25">
      <c r="A3" s="1">
        <v>2</v>
      </c>
      <c r="B3" s="1" t="s">
        <v>104</v>
      </c>
      <c r="C3" s="1">
        <v>2144</v>
      </c>
      <c r="D3" s="1">
        <v>3</v>
      </c>
      <c r="E3" s="1" t="s">
        <v>105</v>
      </c>
      <c r="F3" s="6">
        <v>5.95</v>
      </c>
      <c r="G3" s="6">
        <f>F3*D3</f>
        <v>17.850000000000001</v>
      </c>
      <c r="H3" s="23">
        <f t="shared" ref="H3:H6" si="0">G3*26190</f>
        <v>467491.50000000006</v>
      </c>
      <c r="I3" s="29" t="s">
        <v>106</v>
      </c>
      <c r="J3" s="31" t="s">
        <v>103</v>
      </c>
    </row>
    <row r="4" spans="1:12" ht="15" customHeight="1" x14ac:dyDescent="0.25">
      <c r="A4" s="1">
        <v>3</v>
      </c>
      <c r="B4" s="1" t="s">
        <v>107</v>
      </c>
      <c r="C4" s="1">
        <v>1731</v>
      </c>
      <c r="D4" s="1">
        <v>3</v>
      </c>
      <c r="E4" s="1" t="s">
        <v>108</v>
      </c>
      <c r="F4" s="6">
        <v>2.95</v>
      </c>
      <c r="G4" s="6">
        <f>F4*D4</f>
        <v>8.8500000000000014</v>
      </c>
      <c r="H4" s="23">
        <f t="shared" si="0"/>
        <v>231781.50000000003</v>
      </c>
      <c r="I4" s="29" t="s">
        <v>109</v>
      </c>
      <c r="J4" s="31" t="s">
        <v>103</v>
      </c>
    </row>
    <row r="5" spans="1:12" ht="15" customHeight="1" x14ac:dyDescent="0.25">
      <c r="A5" s="1">
        <v>4</v>
      </c>
      <c r="B5" s="1" t="s">
        <v>110</v>
      </c>
      <c r="C5" s="1" t="s">
        <v>111</v>
      </c>
      <c r="D5" s="1">
        <v>1</v>
      </c>
      <c r="E5" s="1" t="s">
        <v>112</v>
      </c>
      <c r="F5" s="6">
        <v>87.92</v>
      </c>
      <c r="G5" s="6">
        <f>F5*D5</f>
        <v>87.92</v>
      </c>
      <c r="H5" s="23">
        <f t="shared" si="0"/>
        <v>2302624.7999999998</v>
      </c>
      <c r="I5" s="29" t="s">
        <v>113</v>
      </c>
      <c r="J5" s="31" t="s">
        <v>103</v>
      </c>
    </row>
    <row r="6" spans="1:12" ht="15" customHeight="1" x14ac:dyDescent="0.25">
      <c r="A6" s="1">
        <v>5</v>
      </c>
      <c r="B6" s="1" t="s">
        <v>114</v>
      </c>
      <c r="C6" s="1"/>
      <c r="D6" s="1">
        <v>1</v>
      </c>
      <c r="E6" s="1" t="s">
        <v>115</v>
      </c>
      <c r="F6" s="6">
        <v>15</v>
      </c>
      <c r="G6" s="6">
        <f>F6*D6</f>
        <v>15</v>
      </c>
      <c r="H6" s="23">
        <f t="shared" si="0"/>
        <v>392850</v>
      </c>
      <c r="I6" s="29" t="s">
        <v>116</v>
      </c>
      <c r="J6" s="31" t="s">
        <v>103</v>
      </c>
    </row>
    <row r="9" spans="1:12" x14ac:dyDescent="0.25">
      <c r="K9" s="1" t="s">
        <v>15</v>
      </c>
      <c r="L9" s="2">
        <f>SUM($G$2:$G$6)</f>
        <v>227.2</v>
      </c>
    </row>
    <row r="10" spans="1:12" x14ac:dyDescent="0.25">
      <c r="K10" s="17" t="s">
        <v>21</v>
      </c>
      <c r="L10" s="18">
        <f>SUM(H2:H6)</f>
        <v>5950368</v>
      </c>
    </row>
    <row r="11" spans="1:12" x14ac:dyDescent="0.25">
      <c r="K11" s="1" t="s">
        <v>26</v>
      </c>
      <c r="L11" s="19">
        <f>$L$9*31.63</f>
        <v>7186.3359999999993</v>
      </c>
    </row>
  </sheetData>
  <hyperlinks>
    <hyperlink ref="I2" r:id="rId1" xr:uid="{D7E29914-DBF0-41C0-B4E5-4C47490E33F4}"/>
    <hyperlink ref="I3" r:id="rId2" xr:uid="{34BD8F85-95C1-400D-A015-FF6B1E29814F}"/>
    <hyperlink ref="I4" r:id="rId3" xr:uid="{40E54EBA-5157-4B68-9959-1AAC36DDB2C2}"/>
    <hyperlink ref="I5" r:id="rId4" xr:uid="{29EC6AA7-2DB6-420A-9698-27A96EDE6596}"/>
    <hyperlink ref="I6" r:id="rId5" xr:uid="{F73C4832-D68A-455A-BA04-FCDFE078906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E0CC7-6E6D-4183-93BC-AACC20AF9C33}">
  <dimension ref="A1:V68"/>
  <sheetViews>
    <sheetView tabSelected="1" topLeftCell="A44" zoomScaleNormal="100" workbookViewId="0">
      <selection activeCell="I76" sqref="I76"/>
    </sheetView>
  </sheetViews>
  <sheetFormatPr defaultRowHeight="15" x14ac:dyDescent="0.25"/>
  <cols>
    <col min="1" max="1" width="5.42578125" customWidth="1"/>
    <col min="2" max="2" width="31.28515625" customWidth="1"/>
    <col min="3" max="3" width="30.28515625" customWidth="1"/>
    <col min="4" max="4" width="7.7109375" customWidth="1"/>
    <col min="5" max="5" width="47.42578125" customWidth="1"/>
    <col min="6" max="6" width="12.42578125" customWidth="1"/>
    <col min="7" max="7" width="13.7109375" customWidth="1"/>
    <col min="8" max="8" width="16.7109375" customWidth="1"/>
    <col min="9" max="9" width="18.85546875" customWidth="1"/>
    <col min="10" max="10" width="11.85546875" customWidth="1"/>
    <col min="11" max="11" width="12.42578125" customWidth="1"/>
    <col min="15" max="15" width="12.42578125" customWidth="1"/>
    <col min="17" max="17" width="4.42578125" customWidth="1"/>
    <col min="18" max="18" width="15" customWidth="1"/>
    <col min="19" max="19" width="16.7109375" customWidth="1"/>
  </cols>
  <sheetData>
    <row r="1" spans="1:22" x14ac:dyDescent="0.25">
      <c r="A1" s="78" t="s">
        <v>274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T1" t="s">
        <v>275</v>
      </c>
    </row>
    <row r="2" spans="1:22" ht="30" x14ac:dyDescent="0.25">
      <c r="A2" s="32" t="s">
        <v>0</v>
      </c>
      <c r="B2" s="33" t="s">
        <v>1</v>
      </c>
      <c r="C2" s="33" t="s">
        <v>2</v>
      </c>
      <c r="D2" s="33" t="s">
        <v>276</v>
      </c>
      <c r="E2" s="34" t="s">
        <v>4</v>
      </c>
      <c r="F2" s="34" t="s">
        <v>277</v>
      </c>
      <c r="G2" s="34" t="s">
        <v>278</v>
      </c>
      <c r="H2" s="34" t="s">
        <v>7</v>
      </c>
      <c r="I2" s="33" t="s">
        <v>8</v>
      </c>
      <c r="J2" s="33" t="s">
        <v>279</v>
      </c>
      <c r="K2" s="33" t="s">
        <v>280</v>
      </c>
      <c r="L2" s="33" t="s">
        <v>378</v>
      </c>
      <c r="M2" s="33" t="s">
        <v>379</v>
      </c>
      <c r="N2" s="33" t="s">
        <v>380</v>
      </c>
      <c r="O2" s="33" t="s">
        <v>281</v>
      </c>
      <c r="P2" s="33" t="s">
        <v>282</v>
      </c>
      <c r="T2" t="s">
        <v>0</v>
      </c>
      <c r="U2" t="s">
        <v>283</v>
      </c>
      <c r="V2" t="s">
        <v>284</v>
      </c>
    </row>
    <row r="3" spans="1:22" ht="15" customHeight="1" x14ac:dyDescent="0.25">
      <c r="A3" s="31">
        <v>1</v>
      </c>
      <c r="B3" s="31" t="s">
        <v>16</v>
      </c>
      <c r="C3" s="31" t="s">
        <v>17</v>
      </c>
      <c r="D3" s="31">
        <v>4</v>
      </c>
      <c r="E3" s="31" t="s">
        <v>18</v>
      </c>
      <c r="F3" s="35">
        <v>17.920000000000002</v>
      </c>
      <c r="G3" s="35">
        <f>F3*D3</f>
        <v>71.680000000000007</v>
      </c>
      <c r="H3" s="36">
        <f>G3*26190</f>
        <v>1877299.2000000002</v>
      </c>
      <c r="I3" s="37" t="s">
        <v>19</v>
      </c>
      <c r="J3" s="31" t="s">
        <v>285</v>
      </c>
      <c r="K3" s="31" t="s">
        <v>286</v>
      </c>
      <c r="L3" s="79"/>
      <c r="M3" s="62"/>
      <c r="N3" s="62"/>
      <c r="O3" s="62" t="s">
        <v>287</v>
      </c>
      <c r="P3" s="84" t="s">
        <v>288</v>
      </c>
    </row>
    <row r="4" spans="1:22" ht="15" customHeight="1" x14ac:dyDescent="0.25">
      <c r="A4" s="31">
        <v>2</v>
      </c>
      <c r="B4" s="31" t="s">
        <v>22</v>
      </c>
      <c r="C4" s="31" t="s">
        <v>23</v>
      </c>
      <c r="D4" s="31">
        <v>4</v>
      </c>
      <c r="E4" s="31" t="s">
        <v>24</v>
      </c>
      <c r="F4" s="35">
        <v>34.64</v>
      </c>
      <c r="G4" s="35">
        <f t="shared" ref="G4:G6" si="0">F4*D4</f>
        <v>138.56</v>
      </c>
      <c r="H4" s="36">
        <f t="shared" ref="H4:H6" si="1">G4*26190</f>
        <v>3628886.4</v>
      </c>
      <c r="I4" s="37" t="s">
        <v>25</v>
      </c>
      <c r="J4" s="31" t="s">
        <v>285</v>
      </c>
      <c r="K4" s="31" t="s">
        <v>286</v>
      </c>
      <c r="L4" s="79"/>
      <c r="M4" s="62"/>
      <c r="N4" s="62"/>
      <c r="O4" s="62" t="s">
        <v>289</v>
      </c>
      <c r="P4" s="84" t="s">
        <v>288</v>
      </c>
    </row>
    <row r="5" spans="1:22" ht="15" customHeight="1" x14ac:dyDescent="0.25">
      <c r="A5" s="31">
        <v>3</v>
      </c>
      <c r="B5" s="31" t="s">
        <v>27</v>
      </c>
      <c r="C5" s="31" t="s">
        <v>28</v>
      </c>
      <c r="D5" s="31">
        <v>4</v>
      </c>
      <c r="E5" s="31" t="s">
        <v>29</v>
      </c>
      <c r="F5" s="35">
        <v>6.69</v>
      </c>
      <c r="G5" s="35">
        <f t="shared" si="0"/>
        <v>26.76</v>
      </c>
      <c r="H5" s="36">
        <f t="shared" si="1"/>
        <v>700844.4</v>
      </c>
      <c r="I5" s="37" t="s">
        <v>30</v>
      </c>
      <c r="J5" s="31" t="s">
        <v>285</v>
      </c>
      <c r="K5" s="31" t="s">
        <v>290</v>
      </c>
      <c r="L5" s="79"/>
      <c r="M5" s="62"/>
      <c r="N5" s="62"/>
      <c r="O5" s="62" t="s">
        <v>291</v>
      </c>
      <c r="P5" s="84" t="s">
        <v>288</v>
      </c>
    </row>
    <row r="6" spans="1:22" ht="15" customHeight="1" x14ac:dyDescent="0.25">
      <c r="A6" s="31">
        <v>4</v>
      </c>
      <c r="B6" s="31" t="s">
        <v>31</v>
      </c>
      <c r="C6" s="31" t="s">
        <v>32</v>
      </c>
      <c r="D6" s="31">
        <v>4</v>
      </c>
      <c r="E6" s="31" t="s">
        <v>33</v>
      </c>
      <c r="F6" s="35">
        <v>5.18</v>
      </c>
      <c r="G6" s="35">
        <f t="shared" si="0"/>
        <v>20.72</v>
      </c>
      <c r="H6" s="36">
        <f t="shared" si="1"/>
        <v>542656.79999999993</v>
      </c>
      <c r="I6" s="37" t="s">
        <v>34</v>
      </c>
      <c r="J6" s="31" t="s">
        <v>285</v>
      </c>
      <c r="K6" s="31" t="s">
        <v>286</v>
      </c>
      <c r="L6" s="79"/>
      <c r="M6" s="62"/>
      <c r="N6" s="62"/>
      <c r="O6" s="62" t="s">
        <v>292</v>
      </c>
      <c r="P6" s="84" t="s">
        <v>288</v>
      </c>
    </row>
    <row r="7" spans="1:22" ht="15" customHeight="1" x14ac:dyDescent="0.25">
      <c r="A7" s="31">
        <v>5</v>
      </c>
      <c r="B7" s="31" t="s">
        <v>117</v>
      </c>
      <c r="C7" s="31" t="s">
        <v>118</v>
      </c>
      <c r="D7" s="31">
        <v>25</v>
      </c>
      <c r="E7" s="31" t="s">
        <v>119</v>
      </c>
      <c r="F7" s="35">
        <v>0.23</v>
      </c>
      <c r="G7" s="38">
        <f>F7*D7</f>
        <v>5.75</v>
      </c>
      <c r="H7" s="36">
        <f>G7*26190</f>
        <v>150592.5</v>
      </c>
      <c r="I7" s="37" t="s">
        <v>120</v>
      </c>
      <c r="J7" s="31" t="s">
        <v>285</v>
      </c>
      <c r="K7" s="31" t="s">
        <v>293</v>
      </c>
      <c r="L7" s="79" t="s">
        <v>393</v>
      </c>
      <c r="M7" s="62" t="s">
        <v>381</v>
      </c>
      <c r="N7" s="62"/>
      <c r="O7" s="62"/>
      <c r="P7" s="84" t="s">
        <v>288</v>
      </c>
    </row>
    <row r="8" spans="1:22" ht="15" customHeight="1" x14ac:dyDescent="0.25">
      <c r="A8" s="31">
        <v>6</v>
      </c>
      <c r="B8" s="31" t="s">
        <v>121</v>
      </c>
      <c r="C8" s="31" t="s">
        <v>122</v>
      </c>
      <c r="D8" s="31">
        <v>25</v>
      </c>
      <c r="E8" s="31" t="s">
        <v>123</v>
      </c>
      <c r="F8" s="35">
        <v>0.23</v>
      </c>
      <c r="G8" s="38">
        <f t="shared" ref="G8:G41" si="2">F8*D8</f>
        <v>5.75</v>
      </c>
      <c r="H8" s="36">
        <f t="shared" ref="H8:H41" si="3">G8*26190</f>
        <v>150592.5</v>
      </c>
      <c r="I8" s="37" t="s">
        <v>124</v>
      </c>
      <c r="J8" s="31" t="s">
        <v>285</v>
      </c>
      <c r="K8" s="31" t="s">
        <v>293</v>
      </c>
      <c r="L8" s="79">
        <v>200</v>
      </c>
      <c r="M8" s="62" t="s">
        <v>381</v>
      </c>
      <c r="N8" s="62"/>
      <c r="O8" s="62"/>
      <c r="P8" s="84" t="s">
        <v>288</v>
      </c>
    </row>
    <row r="9" spans="1:22" ht="15" customHeight="1" x14ac:dyDescent="0.25">
      <c r="A9" s="31">
        <v>7</v>
      </c>
      <c r="B9" s="31" t="s">
        <v>125</v>
      </c>
      <c r="C9" s="31" t="s">
        <v>126</v>
      </c>
      <c r="D9" s="31">
        <v>25</v>
      </c>
      <c r="E9" s="31" t="s">
        <v>127</v>
      </c>
      <c r="F9" s="35">
        <v>0.23</v>
      </c>
      <c r="G9" s="38">
        <f t="shared" si="2"/>
        <v>5.75</v>
      </c>
      <c r="H9" s="36">
        <f t="shared" si="3"/>
        <v>150592.5</v>
      </c>
      <c r="I9" s="37" t="s">
        <v>128</v>
      </c>
      <c r="J9" s="31" t="s">
        <v>285</v>
      </c>
      <c r="K9" s="31" t="s">
        <v>293</v>
      </c>
      <c r="L9" s="79">
        <v>280</v>
      </c>
      <c r="M9" s="62" t="s">
        <v>381</v>
      </c>
      <c r="N9" s="62"/>
      <c r="O9" s="62"/>
      <c r="P9" s="84" t="s">
        <v>288</v>
      </c>
    </row>
    <row r="10" spans="1:22" ht="15" customHeight="1" x14ac:dyDescent="0.25">
      <c r="A10" s="31">
        <v>8</v>
      </c>
      <c r="B10" s="31" t="s">
        <v>129</v>
      </c>
      <c r="C10" s="31" t="s">
        <v>130</v>
      </c>
      <c r="D10" s="31">
        <v>25</v>
      </c>
      <c r="E10" s="31" t="s">
        <v>131</v>
      </c>
      <c r="F10" s="35">
        <v>0.23</v>
      </c>
      <c r="G10" s="38">
        <f t="shared" si="2"/>
        <v>5.75</v>
      </c>
      <c r="H10" s="36">
        <f t="shared" si="3"/>
        <v>150592.5</v>
      </c>
      <c r="I10" s="37" t="s">
        <v>132</v>
      </c>
      <c r="J10" s="31" t="s">
        <v>285</v>
      </c>
      <c r="K10" s="31" t="s">
        <v>293</v>
      </c>
      <c r="L10" s="79" t="s">
        <v>392</v>
      </c>
      <c r="M10" s="62" t="s">
        <v>381</v>
      </c>
      <c r="N10" s="62"/>
      <c r="O10" s="62"/>
      <c r="P10" s="84" t="s">
        <v>288</v>
      </c>
    </row>
    <row r="11" spans="1:22" ht="15" customHeight="1" x14ac:dyDescent="0.25">
      <c r="A11" s="31">
        <v>9</v>
      </c>
      <c r="B11" s="31" t="s">
        <v>133</v>
      </c>
      <c r="C11" s="31" t="s">
        <v>134</v>
      </c>
      <c r="D11" s="31">
        <v>25</v>
      </c>
      <c r="E11" s="31" t="s">
        <v>135</v>
      </c>
      <c r="F11" s="35">
        <v>0.1</v>
      </c>
      <c r="G11" s="38">
        <f t="shared" si="2"/>
        <v>2.5</v>
      </c>
      <c r="H11" s="36">
        <f t="shared" si="3"/>
        <v>65475</v>
      </c>
      <c r="I11" s="37" t="s">
        <v>136</v>
      </c>
      <c r="J11" s="31" t="s">
        <v>285</v>
      </c>
      <c r="K11" s="31" t="s">
        <v>293</v>
      </c>
      <c r="L11" s="79">
        <v>22</v>
      </c>
      <c r="M11" s="62" t="s">
        <v>381</v>
      </c>
      <c r="N11" s="62"/>
      <c r="O11" s="62"/>
      <c r="P11" s="84" t="s">
        <v>288</v>
      </c>
    </row>
    <row r="12" spans="1:22" ht="15" customHeight="1" x14ac:dyDescent="0.25">
      <c r="A12" s="31">
        <v>10</v>
      </c>
      <c r="B12" s="31" t="s">
        <v>137</v>
      </c>
      <c r="C12" s="31" t="s">
        <v>137</v>
      </c>
      <c r="D12" s="31">
        <v>25</v>
      </c>
      <c r="E12" s="31" t="s">
        <v>138</v>
      </c>
      <c r="F12" s="35">
        <v>0.1</v>
      </c>
      <c r="G12" s="38">
        <f t="shared" si="2"/>
        <v>2.5</v>
      </c>
      <c r="H12" s="36">
        <f t="shared" si="3"/>
        <v>65475</v>
      </c>
      <c r="I12" s="37" t="s">
        <v>139</v>
      </c>
      <c r="J12" s="31" t="s">
        <v>285</v>
      </c>
      <c r="K12" s="31" t="s">
        <v>293</v>
      </c>
      <c r="L12" s="79">
        <v>0</v>
      </c>
      <c r="M12" s="62" t="s">
        <v>381</v>
      </c>
      <c r="N12" s="62"/>
      <c r="O12" s="62"/>
      <c r="P12" s="84" t="s">
        <v>288</v>
      </c>
    </row>
    <row r="13" spans="1:22" ht="15" customHeight="1" x14ac:dyDescent="0.25">
      <c r="A13" s="31">
        <v>11</v>
      </c>
      <c r="B13" s="31" t="s">
        <v>140</v>
      </c>
      <c r="C13" s="31" t="s">
        <v>141</v>
      </c>
      <c r="D13" s="31">
        <v>25</v>
      </c>
      <c r="E13" s="31" t="s">
        <v>142</v>
      </c>
      <c r="F13" s="35">
        <v>0.23</v>
      </c>
      <c r="G13" s="38">
        <f t="shared" si="2"/>
        <v>5.75</v>
      </c>
      <c r="H13" s="36">
        <f t="shared" si="3"/>
        <v>150592.5</v>
      </c>
      <c r="I13" s="37" t="s">
        <v>143</v>
      </c>
      <c r="J13" s="31" t="s">
        <v>285</v>
      </c>
      <c r="K13" s="31" t="s">
        <v>293</v>
      </c>
      <c r="L13" s="79">
        <v>499</v>
      </c>
      <c r="M13" s="62" t="s">
        <v>381</v>
      </c>
      <c r="N13" s="62"/>
      <c r="O13" s="62"/>
      <c r="P13" s="84" t="s">
        <v>288</v>
      </c>
    </row>
    <row r="14" spans="1:22" ht="15" customHeight="1" x14ac:dyDescent="0.25">
      <c r="A14" s="31">
        <v>12</v>
      </c>
      <c r="B14" s="31" t="s">
        <v>144</v>
      </c>
      <c r="C14" s="31" t="s">
        <v>145</v>
      </c>
      <c r="D14" s="31">
        <v>25</v>
      </c>
      <c r="E14" s="31" t="s">
        <v>146</v>
      </c>
      <c r="F14" s="35">
        <v>0.23</v>
      </c>
      <c r="G14" s="38">
        <f t="shared" si="2"/>
        <v>5.75</v>
      </c>
      <c r="H14" s="36">
        <f t="shared" si="3"/>
        <v>150592.5</v>
      </c>
      <c r="I14" s="37" t="s">
        <v>147</v>
      </c>
      <c r="J14" s="31" t="s">
        <v>285</v>
      </c>
      <c r="K14" s="31" t="s">
        <v>293</v>
      </c>
      <c r="L14" s="79" t="s">
        <v>392</v>
      </c>
      <c r="M14" s="62" t="s">
        <v>381</v>
      </c>
      <c r="N14" s="62"/>
      <c r="O14" s="62"/>
      <c r="P14" s="84" t="s">
        <v>288</v>
      </c>
    </row>
    <row r="15" spans="1:22" ht="15" customHeight="1" x14ac:dyDescent="0.25">
      <c r="A15" s="31">
        <v>13</v>
      </c>
      <c r="B15" s="31" t="s">
        <v>148</v>
      </c>
      <c r="C15" s="31" t="s">
        <v>149</v>
      </c>
      <c r="D15" s="31">
        <v>25</v>
      </c>
      <c r="E15" s="31" t="s">
        <v>150</v>
      </c>
      <c r="F15" s="39">
        <v>0.1</v>
      </c>
      <c r="G15" s="40">
        <f t="shared" si="2"/>
        <v>2.5</v>
      </c>
      <c r="H15" s="41">
        <f t="shared" si="3"/>
        <v>65475</v>
      </c>
      <c r="I15" s="42" t="s">
        <v>151</v>
      </c>
      <c r="J15" s="43" t="s">
        <v>285</v>
      </c>
      <c r="K15" s="31" t="s">
        <v>293</v>
      </c>
      <c r="L15" s="79">
        <v>510</v>
      </c>
      <c r="M15" s="62" t="s">
        <v>381</v>
      </c>
      <c r="N15" s="62"/>
      <c r="O15" s="62"/>
      <c r="P15" s="84" t="s">
        <v>288</v>
      </c>
    </row>
    <row r="16" spans="1:22" ht="15" customHeight="1" x14ac:dyDescent="0.25">
      <c r="A16" s="31">
        <v>14</v>
      </c>
      <c r="B16" s="31" t="s">
        <v>152</v>
      </c>
      <c r="C16" s="31" t="s">
        <v>153</v>
      </c>
      <c r="D16" s="31">
        <v>25</v>
      </c>
      <c r="E16" s="31" t="s">
        <v>154</v>
      </c>
      <c r="F16" s="39">
        <v>2E-3</v>
      </c>
      <c r="G16" s="40">
        <f t="shared" si="2"/>
        <v>0.05</v>
      </c>
      <c r="H16" s="41">
        <f t="shared" si="3"/>
        <v>1309.5</v>
      </c>
      <c r="I16" s="42" t="s">
        <v>155</v>
      </c>
      <c r="J16" s="43" t="s">
        <v>285</v>
      </c>
      <c r="K16" s="31" t="s">
        <v>293</v>
      </c>
      <c r="L16" s="79" t="s">
        <v>391</v>
      </c>
      <c r="M16" s="62" t="s">
        <v>381</v>
      </c>
      <c r="N16" s="62"/>
      <c r="O16" s="62"/>
      <c r="P16" s="84" t="s">
        <v>288</v>
      </c>
    </row>
    <row r="17" spans="1:19" ht="15" customHeight="1" x14ac:dyDescent="0.25">
      <c r="A17" s="31">
        <v>15</v>
      </c>
      <c r="B17" s="31" t="s">
        <v>156</v>
      </c>
      <c r="C17" s="31" t="s">
        <v>157</v>
      </c>
      <c r="D17" s="31">
        <v>25</v>
      </c>
      <c r="E17" s="31" t="s">
        <v>158</v>
      </c>
      <c r="F17" s="39">
        <v>0.1</v>
      </c>
      <c r="G17" s="40">
        <f t="shared" si="2"/>
        <v>2.5</v>
      </c>
      <c r="H17" s="41">
        <f t="shared" si="3"/>
        <v>65475</v>
      </c>
      <c r="I17" s="42" t="s">
        <v>159</v>
      </c>
      <c r="J17" s="43" t="s">
        <v>285</v>
      </c>
      <c r="K17" s="31" t="s">
        <v>293</v>
      </c>
      <c r="L17" s="79">
        <v>51</v>
      </c>
      <c r="M17" s="62" t="s">
        <v>381</v>
      </c>
      <c r="N17" s="62"/>
      <c r="O17" s="62"/>
      <c r="P17" s="84" t="s">
        <v>288</v>
      </c>
    </row>
    <row r="18" spans="1:19" ht="15" customHeight="1" x14ac:dyDescent="0.25">
      <c r="A18" s="31">
        <v>17</v>
      </c>
      <c r="B18" s="31" t="s">
        <v>160</v>
      </c>
      <c r="C18" s="31" t="s">
        <v>161</v>
      </c>
      <c r="D18" s="31">
        <v>25</v>
      </c>
      <c r="E18" s="43" t="s">
        <v>162</v>
      </c>
      <c r="F18" s="39">
        <v>0.1</v>
      </c>
      <c r="G18" s="40">
        <f t="shared" si="2"/>
        <v>2.5</v>
      </c>
      <c r="H18" s="41">
        <f t="shared" si="3"/>
        <v>65475</v>
      </c>
      <c r="I18" s="42" t="s">
        <v>163</v>
      </c>
      <c r="J18" s="43" t="s">
        <v>285</v>
      </c>
      <c r="K18" s="31" t="s">
        <v>293</v>
      </c>
      <c r="L18" s="79" t="s">
        <v>390</v>
      </c>
      <c r="M18" s="62" t="s">
        <v>381</v>
      </c>
      <c r="N18" s="62"/>
      <c r="O18" s="62"/>
      <c r="P18" s="84" t="s">
        <v>288</v>
      </c>
    </row>
    <row r="19" spans="1:19" ht="15" customHeight="1" x14ac:dyDescent="0.25">
      <c r="A19" s="31">
        <v>18</v>
      </c>
      <c r="B19" s="31" t="s">
        <v>164</v>
      </c>
      <c r="C19" s="31" t="s">
        <v>165</v>
      </c>
      <c r="D19" s="31">
        <v>25</v>
      </c>
      <c r="E19" s="43" t="s">
        <v>166</v>
      </c>
      <c r="F19" s="39">
        <v>0.31</v>
      </c>
      <c r="G19" s="40">
        <f t="shared" si="2"/>
        <v>7.75</v>
      </c>
      <c r="H19" s="41">
        <f t="shared" si="3"/>
        <v>202972.5</v>
      </c>
      <c r="I19" s="42" t="s">
        <v>167</v>
      </c>
      <c r="J19" s="43" t="s">
        <v>285</v>
      </c>
      <c r="K19" s="31" t="s">
        <v>293</v>
      </c>
      <c r="L19" s="79">
        <v>10</v>
      </c>
      <c r="M19" s="62" t="s">
        <v>381</v>
      </c>
      <c r="N19" s="62"/>
      <c r="O19" s="62"/>
      <c r="P19" s="84" t="s">
        <v>288</v>
      </c>
    </row>
    <row r="20" spans="1:19" x14ac:dyDescent="0.25">
      <c r="A20" s="31">
        <v>19</v>
      </c>
      <c r="B20" s="31" t="s">
        <v>168</v>
      </c>
      <c r="C20" s="31" t="s">
        <v>169</v>
      </c>
      <c r="D20" s="31">
        <v>25</v>
      </c>
      <c r="E20" s="31" t="s">
        <v>170</v>
      </c>
      <c r="F20" s="39">
        <v>0.12</v>
      </c>
      <c r="G20" s="40">
        <f t="shared" si="2"/>
        <v>3</v>
      </c>
      <c r="H20" s="41">
        <f t="shared" si="3"/>
        <v>78570</v>
      </c>
      <c r="I20" s="42" t="s">
        <v>171</v>
      </c>
      <c r="J20" s="43" t="s">
        <v>285</v>
      </c>
      <c r="K20" s="31" t="s">
        <v>294</v>
      </c>
      <c r="L20" s="79" t="s">
        <v>395</v>
      </c>
      <c r="M20" s="62" t="s">
        <v>411</v>
      </c>
      <c r="N20" s="62"/>
      <c r="O20" s="62"/>
      <c r="P20" s="84" t="s">
        <v>288</v>
      </c>
    </row>
    <row r="21" spans="1:19" x14ac:dyDescent="0.25">
      <c r="A21" s="31">
        <v>20</v>
      </c>
      <c r="B21" s="31" t="s">
        <v>172</v>
      </c>
      <c r="C21" s="31" t="s">
        <v>173</v>
      </c>
      <c r="D21" s="31">
        <v>25</v>
      </c>
      <c r="E21" s="31" t="s">
        <v>174</v>
      </c>
      <c r="F21" s="39">
        <v>0.08</v>
      </c>
      <c r="G21" s="40">
        <f t="shared" si="2"/>
        <v>2</v>
      </c>
      <c r="H21" s="41">
        <f t="shared" si="3"/>
        <v>52380</v>
      </c>
      <c r="I21" s="42" t="s">
        <v>175</v>
      </c>
      <c r="J21" s="43" t="s">
        <v>285</v>
      </c>
      <c r="K21" s="31" t="s">
        <v>294</v>
      </c>
      <c r="L21" s="79" t="s">
        <v>396</v>
      </c>
      <c r="M21" s="62" t="s">
        <v>411</v>
      </c>
      <c r="N21" s="62"/>
      <c r="O21" s="62"/>
      <c r="P21" s="84" t="s">
        <v>288</v>
      </c>
    </row>
    <row r="22" spans="1:19" x14ac:dyDescent="0.25">
      <c r="A22" s="31">
        <v>21</v>
      </c>
      <c r="B22" s="31" t="s">
        <v>176</v>
      </c>
      <c r="C22" s="31" t="s">
        <v>177</v>
      </c>
      <c r="D22" s="31">
        <v>25</v>
      </c>
      <c r="E22" s="31" t="s">
        <v>178</v>
      </c>
      <c r="F22" s="39">
        <v>0.41</v>
      </c>
      <c r="G22" s="40">
        <f t="shared" si="2"/>
        <v>10.25</v>
      </c>
      <c r="H22" s="41">
        <f t="shared" si="3"/>
        <v>268447.5</v>
      </c>
      <c r="I22" s="42" t="s">
        <v>179</v>
      </c>
      <c r="J22" s="43" t="s">
        <v>285</v>
      </c>
      <c r="K22" s="31" t="s">
        <v>294</v>
      </c>
      <c r="L22" s="79" t="s">
        <v>397</v>
      </c>
      <c r="M22" s="62" t="s">
        <v>411</v>
      </c>
      <c r="N22" s="62"/>
      <c r="O22" s="62"/>
      <c r="P22" s="84" t="s">
        <v>288</v>
      </c>
    </row>
    <row r="23" spans="1:19" x14ac:dyDescent="0.25">
      <c r="A23" s="31">
        <v>22</v>
      </c>
      <c r="B23" s="31" t="s">
        <v>180</v>
      </c>
      <c r="C23" s="31" t="s">
        <v>181</v>
      </c>
      <c r="D23" s="31">
        <v>25</v>
      </c>
      <c r="E23" s="31" t="s">
        <v>182</v>
      </c>
      <c r="F23" s="35">
        <v>1.4800000000000001E-2</v>
      </c>
      <c r="G23" s="38">
        <f t="shared" si="2"/>
        <v>0.37</v>
      </c>
      <c r="H23" s="36">
        <f t="shared" si="3"/>
        <v>9690.2999999999993</v>
      </c>
      <c r="I23" s="37" t="s">
        <v>183</v>
      </c>
      <c r="J23" s="31" t="s">
        <v>285</v>
      </c>
      <c r="K23" s="31" t="s">
        <v>294</v>
      </c>
      <c r="L23" s="79" t="s">
        <v>398</v>
      </c>
      <c r="M23" s="62" t="s">
        <v>411</v>
      </c>
      <c r="N23" s="62"/>
      <c r="O23" s="62"/>
      <c r="P23" s="84" t="s">
        <v>288</v>
      </c>
    </row>
    <row r="24" spans="1:19" x14ac:dyDescent="0.25">
      <c r="A24" s="31">
        <v>23</v>
      </c>
      <c r="B24" s="31" t="s">
        <v>184</v>
      </c>
      <c r="C24" s="31" t="s">
        <v>185</v>
      </c>
      <c r="D24" s="31">
        <v>25</v>
      </c>
      <c r="E24" s="31" t="s">
        <v>186</v>
      </c>
      <c r="F24" s="35">
        <v>2.5000000000000001E-2</v>
      </c>
      <c r="G24" s="38">
        <f t="shared" si="2"/>
        <v>0.625</v>
      </c>
      <c r="H24" s="36">
        <f t="shared" si="3"/>
        <v>16368.75</v>
      </c>
      <c r="I24" s="37" t="s">
        <v>187</v>
      </c>
      <c r="J24" s="31" t="s">
        <v>285</v>
      </c>
      <c r="K24" s="31" t="s">
        <v>294</v>
      </c>
      <c r="L24" s="79" t="s">
        <v>399</v>
      </c>
      <c r="M24" s="62" t="s">
        <v>411</v>
      </c>
      <c r="N24" s="62"/>
      <c r="O24" s="62"/>
      <c r="P24" s="84" t="s">
        <v>288</v>
      </c>
    </row>
    <row r="25" spans="1:19" x14ac:dyDescent="0.25">
      <c r="A25" s="31">
        <v>24</v>
      </c>
      <c r="B25" s="31" t="s">
        <v>188</v>
      </c>
      <c r="C25" s="31" t="s">
        <v>189</v>
      </c>
      <c r="D25" s="31">
        <v>25</v>
      </c>
      <c r="E25" s="31" t="s">
        <v>190</v>
      </c>
      <c r="F25" s="35">
        <v>1.822E-2</v>
      </c>
      <c r="G25" s="38">
        <f t="shared" si="2"/>
        <v>0.45550000000000002</v>
      </c>
      <c r="H25" s="36">
        <f t="shared" si="3"/>
        <v>11929.545</v>
      </c>
      <c r="I25" s="37" t="s">
        <v>191</v>
      </c>
      <c r="J25" s="31" t="s">
        <v>285</v>
      </c>
      <c r="K25" s="31" t="s">
        <v>294</v>
      </c>
      <c r="L25" s="79" t="s">
        <v>400</v>
      </c>
      <c r="M25" s="62" t="s">
        <v>411</v>
      </c>
      <c r="N25" s="62"/>
      <c r="O25" s="62"/>
      <c r="P25" s="84" t="s">
        <v>288</v>
      </c>
    </row>
    <row r="26" spans="1:19" x14ac:dyDescent="0.25">
      <c r="A26" s="31">
        <v>25</v>
      </c>
      <c r="B26" s="31" t="s">
        <v>47</v>
      </c>
      <c r="C26" s="31" t="s">
        <v>48</v>
      </c>
      <c r="D26" s="31">
        <v>25</v>
      </c>
      <c r="E26" s="31" t="s">
        <v>49</v>
      </c>
      <c r="F26" s="35">
        <v>0.13</v>
      </c>
      <c r="G26" s="38">
        <f t="shared" si="2"/>
        <v>3.25</v>
      </c>
      <c r="H26" s="36">
        <f t="shared" si="3"/>
        <v>85117.5</v>
      </c>
      <c r="I26" s="37" t="s">
        <v>50</v>
      </c>
      <c r="J26" s="31" t="s">
        <v>285</v>
      </c>
      <c r="K26" s="31" t="s">
        <v>294</v>
      </c>
      <c r="L26" s="79" t="s">
        <v>401</v>
      </c>
      <c r="M26" s="62" t="s">
        <v>411</v>
      </c>
      <c r="N26" s="62"/>
      <c r="O26" s="62"/>
      <c r="P26" s="84" t="s">
        <v>288</v>
      </c>
    </row>
    <row r="27" spans="1:19" x14ac:dyDescent="0.25">
      <c r="A27" s="31">
        <v>26</v>
      </c>
      <c r="B27" s="31" t="s">
        <v>51</v>
      </c>
      <c r="C27" s="31" t="s">
        <v>52</v>
      </c>
      <c r="D27" s="31">
        <v>25</v>
      </c>
      <c r="E27" s="31" t="s">
        <v>53</v>
      </c>
      <c r="F27" s="35">
        <v>0.11</v>
      </c>
      <c r="G27" s="38">
        <f t="shared" si="2"/>
        <v>2.75</v>
      </c>
      <c r="H27" s="36">
        <f t="shared" si="3"/>
        <v>72022.5</v>
      </c>
      <c r="I27" s="37" t="s">
        <v>54</v>
      </c>
      <c r="J27" s="31" t="s">
        <v>285</v>
      </c>
      <c r="K27" s="31" t="s">
        <v>294</v>
      </c>
      <c r="L27" s="79" t="s">
        <v>402</v>
      </c>
      <c r="M27" s="62" t="s">
        <v>411</v>
      </c>
      <c r="N27" s="62"/>
      <c r="O27" s="62"/>
      <c r="P27" s="84" t="s">
        <v>288</v>
      </c>
      <c r="R27" s="1" t="s">
        <v>15</v>
      </c>
      <c r="S27" s="2">
        <f>SUM($G:$G)</f>
        <v>573.05574999999999</v>
      </c>
    </row>
    <row r="28" spans="1:19" x14ac:dyDescent="0.25">
      <c r="A28" s="31">
        <v>27</v>
      </c>
      <c r="B28" s="31" t="s">
        <v>55</v>
      </c>
      <c r="C28" s="31" t="s">
        <v>56</v>
      </c>
      <c r="D28" s="31">
        <v>25</v>
      </c>
      <c r="E28" s="31" t="s">
        <v>57</v>
      </c>
      <c r="F28" s="35">
        <v>2.5010000000000001E-2</v>
      </c>
      <c r="G28" s="38">
        <f t="shared" si="2"/>
        <v>0.62524999999999997</v>
      </c>
      <c r="H28" s="36">
        <f t="shared" si="3"/>
        <v>16375.297499999999</v>
      </c>
      <c r="I28" s="37" t="s">
        <v>58</v>
      </c>
      <c r="J28" s="31" t="s">
        <v>285</v>
      </c>
      <c r="K28" s="31" t="s">
        <v>294</v>
      </c>
      <c r="L28" s="79" t="s">
        <v>403</v>
      </c>
      <c r="M28" s="62" t="s">
        <v>411</v>
      </c>
      <c r="N28" s="62"/>
      <c r="O28" s="62"/>
      <c r="P28" s="84" t="s">
        <v>288</v>
      </c>
      <c r="R28" s="17" t="s">
        <v>21</v>
      </c>
      <c r="S28" s="18">
        <f>SUM($H:$H)</f>
        <v>15008330.092500001</v>
      </c>
    </row>
    <row r="29" spans="1:19" x14ac:dyDescent="0.25">
      <c r="A29" s="31">
        <v>28</v>
      </c>
      <c r="B29" s="31" t="s">
        <v>35</v>
      </c>
      <c r="C29" s="31" t="s">
        <v>36</v>
      </c>
      <c r="D29" s="31">
        <v>25</v>
      </c>
      <c r="E29" s="31" t="s">
        <v>37</v>
      </c>
      <c r="F29" s="35">
        <v>0.12</v>
      </c>
      <c r="G29" s="38">
        <f t="shared" si="2"/>
        <v>3</v>
      </c>
      <c r="H29" s="36">
        <f t="shared" si="3"/>
        <v>78570</v>
      </c>
      <c r="I29" s="37" t="s">
        <v>38</v>
      </c>
      <c r="J29" s="31" t="s">
        <v>285</v>
      </c>
      <c r="K29" s="31" t="s">
        <v>294</v>
      </c>
      <c r="L29" s="79" t="s">
        <v>404</v>
      </c>
      <c r="M29" s="62" t="s">
        <v>411</v>
      </c>
      <c r="N29" s="62"/>
      <c r="O29" s="62"/>
      <c r="P29" s="84" t="s">
        <v>288</v>
      </c>
      <c r="R29" s="1" t="s">
        <v>26</v>
      </c>
      <c r="S29" s="19">
        <f>$S$27*31.63</f>
        <v>18125.753372499999</v>
      </c>
    </row>
    <row r="30" spans="1:19" x14ac:dyDescent="0.25">
      <c r="A30" s="31">
        <v>29</v>
      </c>
      <c r="B30" s="31" t="s">
        <v>39</v>
      </c>
      <c r="C30" s="31" t="s">
        <v>40</v>
      </c>
      <c r="D30" s="31">
        <v>25</v>
      </c>
      <c r="E30" s="31" t="s">
        <v>41</v>
      </c>
      <c r="F30" s="35">
        <v>0.14000000000000001</v>
      </c>
      <c r="G30" s="38">
        <f t="shared" si="2"/>
        <v>3.5000000000000004</v>
      </c>
      <c r="H30" s="36">
        <f t="shared" si="3"/>
        <v>91665.000000000015</v>
      </c>
      <c r="I30" s="37" t="s">
        <v>42</v>
      </c>
      <c r="J30" s="31" t="s">
        <v>285</v>
      </c>
      <c r="K30" s="31" t="s">
        <v>294</v>
      </c>
      <c r="L30" s="79" t="s">
        <v>396</v>
      </c>
      <c r="M30" s="62" t="s">
        <v>411</v>
      </c>
      <c r="N30" s="62"/>
      <c r="O30" s="62"/>
      <c r="P30" s="84" t="s">
        <v>288</v>
      </c>
    </row>
    <row r="31" spans="1:19" x14ac:dyDescent="0.25">
      <c r="A31" s="31">
        <v>30</v>
      </c>
      <c r="B31" s="31" t="s">
        <v>43</v>
      </c>
      <c r="C31" s="31" t="s">
        <v>44</v>
      </c>
      <c r="D31" s="31">
        <v>25</v>
      </c>
      <c r="E31" s="31" t="s">
        <v>45</v>
      </c>
      <c r="F31" s="35">
        <v>0.1</v>
      </c>
      <c r="G31" s="38">
        <f t="shared" si="2"/>
        <v>2.5</v>
      </c>
      <c r="H31" s="36">
        <f t="shared" si="3"/>
        <v>65475</v>
      </c>
      <c r="I31" s="37" t="s">
        <v>46</v>
      </c>
      <c r="J31" s="31" t="s">
        <v>285</v>
      </c>
      <c r="K31" s="31" t="s">
        <v>294</v>
      </c>
      <c r="L31" s="79" t="s">
        <v>405</v>
      </c>
      <c r="M31" s="62" t="s">
        <v>411</v>
      </c>
      <c r="N31" s="62"/>
      <c r="O31" s="62"/>
      <c r="P31" s="84" t="s">
        <v>288</v>
      </c>
    </row>
    <row r="32" spans="1:19" ht="15" customHeight="1" x14ac:dyDescent="0.25">
      <c r="A32" s="65">
        <v>31</v>
      </c>
      <c r="B32" s="65" t="s">
        <v>59</v>
      </c>
      <c r="C32" s="65" t="s">
        <v>60</v>
      </c>
      <c r="D32" s="65">
        <v>25</v>
      </c>
      <c r="E32" s="65" t="s">
        <v>61</v>
      </c>
      <c r="F32" s="66">
        <v>0.1</v>
      </c>
      <c r="G32" s="67">
        <f t="shared" si="2"/>
        <v>2.5</v>
      </c>
      <c r="H32" s="68">
        <f t="shared" si="3"/>
        <v>65475</v>
      </c>
      <c r="I32" s="69" t="s">
        <v>62</v>
      </c>
      <c r="J32" s="70" t="s">
        <v>285</v>
      </c>
      <c r="K32" s="65" t="s">
        <v>293</v>
      </c>
      <c r="L32" s="80">
        <v>49.9</v>
      </c>
      <c r="M32" s="71" t="s">
        <v>381</v>
      </c>
      <c r="N32" s="71"/>
      <c r="O32" s="71"/>
      <c r="P32" s="84" t="s">
        <v>288</v>
      </c>
    </row>
    <row r="33" spans="1:16" ht="15" customHeight="1" x14ac:dyDescent="0.25">
      <c r="A33" s="65">
        <v>32</v>
      </c>
      <c r="B33" s="65" t="s">
        <v>63</v>
      </c>
      <c r="C33" s="65" t="s">
        <v>64</v>
      </c>
      <c r="D33" s="65">
        <v>4</v>
      </c>
      <c r="E33" s="65" t="s">
        <v>65</v>
      </c>
      <c r="F33" s="66">
        <v>4.59</v>
      </c>
      <c r="G33" s="67">
        <f t="shared" si="2"/>
        <v>18.36</v>
      </c>
      <c r="H33" s="68">
        <f t="shared" si="3"/>
        <v>480848.39999999997</v>
      </c>
      <c r="I33" s="69" t="s">
        <v>66</v>
      </c>
      <c r="J33" s="70" t="s">
        <v>285</v>
      </c>
      <c r="K33" s="65" t="s">
        <v>286</v>
      </c>
      <c r="L33" s="80"/>
      <c r="M33" s="71"/>
      <c r="N33" s="71"/>
      <c r="O33" s="71" t="s">
        <v>295</v>
      </c>
      <c r="P33" s="84" t="s">
        <v>288</v>
      </c>
    </row>
    <row r="34" spans="1:16" ht="15" customHeight="1" x14ac:dyDescent="0.25">
      <c r="A34" s="65">
        <v>33</v>
      </c>
      <c r="B34" s="65" t="s">
        <v>67</v>
      </c>
      <c r="C34" s="65" t="s">
        <v>68</v>
      </c>
      <c r="D34" s="65">
        <v>25</v>
      </c>
      <c r="E34" s="65" t="s">
        <v>69</v>
      </c>
      <c r="F34" s="66">
        <v>0.11</v>
      </c>
      <c r="G34" s="67">
        <f t="shared" si="2"/>
        <v>2.75</v>
      </c>
      <c r="H34" s="68">
        <f t="shared" si="3"/>
        <v>72022.5</v>
      </c>
      <c r="I34" s="69" t="s">
        <v>70</v>
      </c>
      <c r="J34" s="70" t="s">
        <v>285</v>
      </c>
      <c r="K34" s="65" t="s">
        <v>296</v>
      </c>
      <c r="L34" s="80"/>
      <c r="M34" s="71"/>
      <c r="N34" s="71"/>
      <c r="O34" s="71"/>
      <c r="P34" s="84" t="s">
        <v>288</v>
      </c>
    </row>
    <row r="35" spans="1:16" ht="15" customHeight="1" x14ac:dyDescent="0.25">
      <c r="A35" s="65">
        <v>34</v>
      </c>
      <c r="B35" s="65" t="s">
        <v>71</v>
      </c>
      <c r="C35" s="65" t="s">
        <v>72</v>
      </c>
      <c r="D35" s="65">
        <v>25</v>
      </c>
      <c r="E35" s="65" t="s">
        <v>73</v>
      </c>
      <c r="F35" s="66">
        <v>0.11</v>
      </c>
      <c r="G35" s="67">
        <f t="shared" si="2"/>
        <v>2.75</v>
      </c>
      <c r="H35" s="68">
        <f t="shared" si="3"/>
        <v>72022.5</v>
      </c>
      <c r="I35" s="69" t="s">
        <v>74</v>
      </c>
      <c r="J35" s="70" t="s">
        <v>285</v>
      </c>
      <c r="K35" s="65" t="s">
        <v>296</v>
      </c>
      <c r="L35" s="80"/>
      <c r="M35" s="71"/>
      <c r="N35" s="71"/>
      <c r="O35" s="71"/>
      <c r="P35" s="84" t="s">
        <v>288</v>
      </c>
    </row>
    <row r="36" spans="1:16" ht="15" customHeight="1" x14ac:dyDescent="0.25">
      <c r="A36" s="65">
        <v>35</v>
      </c>
      <c r="B36" s="65" t="s">
        <v>75</v>
      </c>
      <c r="C36" s="65" t="s">
        <v>76</v>
      </c>
      <c r="D36" s="65">
        <v>25</v>
      </c>
      <c r="E36" s="65" t="s">
        <v>77</v>
      </c>
      <c r="F36" s="66">
        <v>0.11</v>
      </c>
      <c r="G36" s="67">
        <f t="shared" si="2"/>
        <v>2.75</v>
      </c>
      <c r="H36" s="68">
        <f t="shared" si="3"/>
        <v>72022.5</v>
      </c>
      <c r="I36" s="69" t="s">
        <v>78</v>
      </c>
      <c r="J36" s="70" t="s">
        <v>285</v>
      </c>
      <c r="K36" s="65" t="s">
        <v>296</v>
      </c>
      <c r="L36" s="80"/>
      <c r="M36" s="71"/>
      <c r="N36" s="71"/>
      <c r="O36" s="71"/>
      <c r="P36" s="84" t="s">
        <v>288</v>
      </c>
    </row>
    <row r="37" spans="1:16" ht="15" customHeight="1" x14ac:dyDescent="0.25">
      <c r="A37" s="65">
        <v>36</v>
      </c>
      <c r="B37" s="65" t="s">
        <v>79</v>
      </c>
      <c r="C37" s="65" t="s">
        <v>80</v>
      </c>
      <c r="D37" s="65">
        <v>4</v>
      </c>
      <c r="E37" s="65" t="s">
        <v>81</v>
      </c>
      <c r="F37" s="66">
        <v>3.85</v>
      </c>
      <c r="G37" s="67">
        <f t="shared" si="2"/>
        <v>15.4</v>
      </c>
      <c r="H37" s="68">
        <f t="shared" si="3"/>
        <v>403326</v>
      </c>
      <c r="I37" s="69" t="s">
        <v>82</v>
      </c>
      <c r="J37" s="70" t="s">
        <v>285</v>
      </c>
      <c r="K37" s="65" t="s">
        <v>297</v>
      </c>
      <c r="L37" s="80"/>
      <c r="M37" s="71"/>
      <c r="N37" s="71"/>
      <c r="O37" s="71"/>
      <c r="P37" s="84" t="s">
        <v>288</v>
      </c>
    </row>
    <row r="38" spans="1:16" ht="15" customHeight="1" x14ac:dyDescent="0.25">
      <c r="A38" s="65">
        <v>37</v>
      </c>
      <c r="B38" s="65" t="s">
        <v>83</v>
      </c>
      <c r="C38" s="65" t="s">
        <v>84</v>
      </c>
      <c r="D38" s="65">
        <v>10</v>
      </c>
      <c r="E38" s="65" t="s">
        <v>85</v>
      </c>
      <c r="F38" s="66">
        <v>0.25</v>
      </c>
      <c r="G38" s="67">
        <f t="shared" si="2"/>
        <v>2.5</v>
      </c>
      <c r="H38" s="68">
        <f t="shared" si="3"/>
        <v>65475</v>
      </c>
      <c r="I38" s="69" t="s">
        <v>86</v>
      </c>
      <c r="J38" s="70" t="s">
        <v>285</v>
      </c>
      <c r="K38" s="65"/>
      <c r="L38" s="80"/>
      <c r="M38" s="71"/>
      <c r="N38" s="71"/>
      <c r="O38" s="71"/>
      <c r="P38" s="84" t="s">
        <v>288</v>
      </c>
    </row>
    <row r="39" spans="1:16" ht="15" customHeight="1" x14ac:dyDescent="0.25">
      <c r="A39" s="65">
        <v>38</v>
      </c>
      <c r="B39" s="65" t="s">
        <v>87</v>
      </c>
      <c r="C39" s="65" t="s">
        <v>88</v>
      </c>
      <c r="D39" s="65">
        <v>10</v>
      </c>
      <c r="E39" s="65" t="s">
        <v>89</v>
      </c>
      <c r="F39" s="66">
        <v>0.42599999999999999</v>
      </c>
      <c r="G39" s="67">
        <f t="shared" si="2"/>
        <v>4.26</v>
      </c>
      <c r="H39" s="68">
        <f t="shared" si="3"/>
        <v>111569.4</v>
      </c>
      <c r="I39" s="69" t="s">
        <v>90</v>
      </c>
      <c r="J39" s="70" t="s">
        <v>285</v>
      </c>
      <c r="K39" s="65"/>
      <c r="L39" s="80"/>
      <c r="M39" s="71"/>
      <c r="N39" s="71"/>
      <c r="O39" s="71"/>
      <c r="P39" s="84" t="s">
        <v>288</v>
      </c>
    </row>
    <row r="40" spans="1:16" ht="15" customHeight="1" x14ac:dyDescent="0.25">
      <c r="A40" s="65">
        <v>39</v>
      </c>
      <c r="B40" s="65" t="s">
        <v>91</v>
      </c>
      <c r="C40" s="65" t="s">
        <v>92</v>
      </c>
      <c r="D40" s="65">
        <v>10</v>
      </c>
      <c r="E40" s="65" t="s">
        <v>93</v>
      </c>
      <c r="F40" s="66">
        <v>0.25</v>
      </c>
      <c r="G40" s="67">
        <f t="shared" si="2"/>
        <v>2.5</v>
      </c>
      <c r="H40" s="68">
        <f t="shared" si="3"/>
        <v>65475</v>
      </c>
      <c r="I40" s="69" t="s">
        <v>94</v>
      </c>
      <c r="J40" s="70" t="s">
        <v>285</v>
      </c>
      <c r="K40" s="65"/>
      <c r="L40" s="80"/>
      <c r="M40" s="71"/>
      <c r="N40" s="71"/>
      <c r="O40" s="71"/>
      <c r="P40" s="84" t="s">
        <v>288</v>
      </c>
    </row>
    <row r="41" spans="1:16" ht="15" customHeight="1" x14ac:dyDescent="0.25">
      <c r="A41" s="72">
        <v>40</v>
      </c>
      <c r="B41" s="72" t="s">
        <v>95</v>
      </c>
      <c r="C41" s="72" t="s">
        <v>96</v>
      </c>
      <c r="D41" s="72">
        <v>10</v>
      </c>
      <c r="E41" s="72" t="s">
        <v>97</v>
      </c>
      <c r="F41" s="73">
        <v>0.34</v>
      </c>
      <c r="G41" s="74">
        <f t="shared" si="2"/>
        <v>3.4000000000000004</v>
      </c>
      <c r="H41" s="75">
        <f t="shared" si="3"/>
        <v>89046.000000000015</v>
      </c>
      <c r="I41" s="76" t="s">
        <v>98</v>
      </c>
      <c r="J41" s="70" t="s">
        <v>285</v>
      </c>
      <c r="K41" s="72"/>
      <c r="L41" s="81"/>
      <c r="M41" s="77"/>
      <c r="N41" s="77"/>
      <c r="O41" s="77"/>
      <c r="P41" s="84" t="s">
        <v>288</v>
      </c>
    </row>
    <row r="42" spans="1:16" ht="15" customHeight="1" x14ac:dyDescent="0.25">
      <c r="A42" s="44">
        <v>41</v>
      </c>
      <c r="B42" s="49" t="s">
        <v>298</v>
      </c>
      <c r="C42" s="49" t="s">
        <v>299</v>
      </c>
      <c r="D42" s="49">
        <v>10</v>
      </c>
      <c r="E42" s="49" t="s">
        <v>300</v>
      </c>
      <c r="F42" s="50">
        <v>0.34599999999999997</v>
      </c>
      <c r="G42" s="51">
        <f>F42*D42</f>
        <v>3.46</v>
      </c>
      <c r="H42" s="52">
        <f>G42*26190</f>
        <v>90617.4</v>
      </c>
      <c r="I42" s="53" t="s">
        <v>301</v>
      </c>
      <c r="J42" s="49" t="s">
        <v>302</v>
      </c>
      <c r="K42" s="49" t="s">
        <v>303</v>
      </c>
      <c r="L42" s="82"/>
      <c r="M42" s="63"/>
      <c r="N42" s="63"/>
      <c r="O42" s="63"/>
      <c r="P42" s="84" t="s">
        <v>288</v>
      </c>
    </row>
    <row r="43" spans="1:16" x14ac:dyDescent="0.25">
      <c r="A43" s="44">
        <v>42</v>
      </c>
      <c r="B43" s="49" t="s">
        <v>304</v>
      </c>
      <c r="C43" s="49" t="s">
        <v>305</v>
      </c>
      <c r="D43" s="49">
        <v>10</v>
      </c>
      <c r="E43" s="49" t="s">
        <v>306</v>
      </c>
      <c r="F43" s="50">
        <v>1</v>
      </c>
      <c r="G43" s="51">
        <f t="shared" ref="G43:G64" si="4">F43*D43</f>
        <v>10</v>
      </c>
      <c r="H43" s="52">
        <f t="shared" ref="H43:H64" si="5">G43*26190</f>
        <v>261900</v>
      </c>
      <c r="I43" s="53" t="s">
        <v>307</v>
      </c>
      <c r="J43" s="49" t="s">
        <v>302</v>
      </c>
      <c r="K43" s="58" t="s">
        <v>294</v>
      </c>
      <c r="L43" s="82" t="s">
        <v>406</v>
      </c>
      <c r="M43" s="83" t="s">
        <v>411</v>
      </c>
      <c r="N43" s="63"/>
      <c r="O43" s="63"/>
      <c r="P43" s="84" t="s">
        <v>288</v>
      </c>
    </row>
    <row r="44" spans="1:16" x14ac:dyDescent="0.25">
      <c r="A44" s="59">
        <v>43</v>
      </c>
      <c r="B44" s="49" t="s">
        <v>308</v>
      </c>
      <c r="C44" s="49" t="s">
        <v>173</v>
      </c>
      <c r="D44" s="49">
        <v>30</v>
      </c>
      <c r="E44" s="49" t="s">
        <v>233</v>
      </c>
      <c r="F44" s="50">
        <v>0.14000000000000001</v>
      </c>
      <c r="G44" s="51">
        <f t="shared" si="4"/>
        <v>4.2</v>
      </c>
      <c r="H44" s="52">
        <f t="shared" si="5"/>
        <v>109998</v>
      </c>
      <c r="I44" s="53" t="s">
        <v>309</v>
      </c>
      <c r="J44" s="49" t="s">
        <v>302</v>
      </c>
      <c r="K44" s="58" t="s">
        <v>294</v>
      </c>
      <c r="L44" s="82" t="s">
        <v>396</v>
      </c>
      <c r="M44" s="83" t="s">
        <v>411</v>
      </c>
      <c r="N44" s="63"/>
      <c r="O44" s="63"/>
      <c r="P44" s="84" t="s">
        <v>288</v>
      </c>
    </row>
    <row r="45" spans="1:16" ht="15" customHeight="1" x14ac:dyDescent="0.25">
      <c r="A45" s="44">
        <v>44</v>
      </c>
      <c r="B45" s="49" t="s">
        <v>310</v>
      </c>
      <c r="C45" s="49" t="s">
        <v>311</v>
      </c>
      <c r="D45" s="49">
        <v>4</v>
      </c>
      <c r="E45" s="49" t="s">
        <v>312</v>
      </c>
      <c r="F45" s="50">
        <v>10.75</v>
      </c>
      <c r="G45" s="51">
        <f t="shared" si="4"/>
        <v>43</v>
      </c>
      <c r="H45" s="52">
        <f t="shared" si="5"/>
        <v>1126170</v>
      </c>
      <c r="I45" s="53" t="s">
        <v>313</v>
      </c>
      <c r="J45" s="49" t="s">
        <v>302</v>
      </c>
      <c r="K45" s="49" t="s">
        <v>286</v>
      </c>
      <c r="L45" s="82"/>
      <c r="M45" s="82"/>
      <c r="N45" s="63"/>
      <c r="O45" s="63"/>
      <c r="P45" s="84" t="s">
        <v>288</v>
      </c>
    </row>
    <row r="46" spans="1:16" ht="15" customHeight="1" x14ac:dyDescent="0.25">
      <c r="A46" s="44">
        <v>45</v>
      </c>
      <c r="B46" s="49" t="s">
        <v>314</v>
      </c>
      <c r="C46" s="49" t="s">
        <v>315</v>
      </c>
      <c r="D46" s="49">
        <v>30</v>
      </c>
      <c r="E46" s="49" t="s">
        <v>316</v>
      </c>
      <c r="F46" s="50">
        <v>0.47599999999999998</v>
      </c>
      <c r="G46" s="51">
        <f t="shared" si="4"/>
        <v>14.28</v>
      </c>
      <c r="H46" s="52">
        <f t="shared" si="5"/>
        <v>373993.2</v>
      </c>
      <c r="I46" s="53" t="s">
        <v>317</v>
      </c>
      <c r="J46" s="49" t="s">
        <v>302</v>
      </c>
      <c r="K46" s="49" t="s">
        <v>303</v>
      </c>
      <c r="L46" s="82"/>
      <c r="M46" s="82"/>
      <c r="N46" s="63"/>
      <c r="O46" s="63"/>
      <c r="P46" s="84" t="s">
        <v>288</v>
      </c>
    </row>
    <row r="47" spans="1:16" ht="15" customHeight="1" x14ac:dyDescent="0.25">
      <c r="A47" s="59">
        <v>46</v>
      </c>
      <c r="B47" s="49" t="s">
        <v>318</v>
      </c>
      <c r="C47" s="49" t="s">
        <v>319</v>
      </c>
      <c r="D47" s="49">
        <v>30</v>
      </c>
      <c r="E47" s="49" t="s">
        <v>320</v>
      </c>
      <c r="F47" s="50">
        <v>0.24</v>
      </c>
      <c r="G47" s="51">
        <f t="shared" si="4"/>
        <v>7.1999999999999993</v>
      </c>
      <c r="H47" s="52">
        <f t="shared" si="5"/>
        <v>188567.99999999997</v>
      </c>
      <c r="I47" s="53" t="s">
        <v>321</v>
      </c>
      <c r="J47" s="49" t="s">
        <v>302</v>
      </c>
      <c r="K47" s="49" t="s">
        <v>293</v>
      </c>
      <c r="L47" s="82">
        <v>604</v>
      </c>
      <c r="M47" s="82" t="s">
        <v>381</v>
      </c>
      <c r="N47" s="63"/>
      <c r="O47" s="63"/>
      <c r="P47" s="84" t="s">
        <v>288</v>
      </c>
    </row>
    <row r="48" spans="1:16" ht="15" customHeight="1" x14ac:dyDescent="0.25">
      <c r="A48" s="44">
        <v>47</v>
      </c>
      <c r="B48" s="49" t="s">
        <v>322</v>
      </c>
      <c r="C48" s="49" t="s">
        <v>323</v>
      </c>
      <c r="D48" s="49">
        <v>30</v>
      </c>
      <c r="E48" s="49" t="s">
        <v>324</v>
      </c>
      <c r="F48" s="50">
        <v>0.1</v>
      </c>
      <c r="G48" s="51">
        <f t="shared" si="4"/>
        <v>3</v>
      </c>
      <c r="H48" s="52">
        <f t="shared" si="5"/>
        <v>78570</v>
      </c>
      <c r="I48" s="53" t="s">
        <v>325</v>
      </c>
      <c r="J48" s="49" t="s">
        <v>302</v>
      </c>
      <c r="K48" s="49" t="s">
        <v>293</v>
      </c>
      <c r="L48" s="82" t="s">
        <v>389</v>
      </c>
      <c r="M48" s="82" t="s">
        <v>381</v>
      </c>
      <c r="N48" s="63"/>
      <c r="O48" s="63"/>
      <c r="P48" s="84" t="s">
        <v>288</v>
      </c>
    </row>
    <row r="49" spans="1:16" ht="15" customHeight="1" x14ac:dyDescent="0.25">
      <c r="A49" s="44">
        <v>48</v>
      </c>
      <c r="B49" s="49" t="s">
        <v>326</v>
      </c>
      <c r="C49" s="49" t="s">
        <v>327</v>
      </c>
      <c r="D49" s="49">
        <v>30</v>
      </c>
      <c r="E49" s="49" t="s">
        <v>328</v>
      </c>
      <c r="F49" s="50">
        <v>0.1</v>
      </c>
      <c r="G49" s="51">
        <f t="shared" si="4"/>
        <v>3</v>
      </c>
      <c r="H49" s="52">
        <f t="shared" si="5"/>
        <v>78570</v>
      </c>
      <c r="I49" s="53" t="s">
        <v>329</v>
      </c>
      <c r="J49" s="49" t="s">
        <v>302</v>
      </c>
      <c r="K49" s="49" t="s">
        <v>293</v>
      </c>
      <c r="L49" s="82" t="s">
        <v>388</v>
      </c>
      <c r="M49" s="82" t="s">
        <v>381</v>
      </c>
      <c r="N49" s="63"/>
      <c r="O49" s="63"/>
      <c r="P49" s="84" t="s">
        <v>288</v>
      </c>
    </row>
    <row r="50" spans="1:16" x14ac:dyDescent="0.25">
      <c r="A50" s="59">
        <v>49</v>
      </c>
      <c r="B50" s="49" t="s">
        <v>330</v>
      </c>
      <c r="C50" s="49" t="s">
        <v>331</v>
      </c>
      <c r="D50" s="49">
        <v>30</v>
      </c>
      <c r="E50" s="49" t="s">
        <v>332</v>
      </c>
      <c r="F50" s="50">
        <v>0.12</v>
      </c>
      <c r="G50" s="51">
        <f>F50*D50</f>
        <v>3.5999999999999996</v>
      </c>
      <c r="H50" s="52">
        <f t="shared" si="5"/>
        <v>94283.999999999985</v>
      </c>
      <c r="I50" s="53" t="s">
        <v>333</v>
      </c>
      <c r="J50" s="49" t="s">
        <v>302</v>
      </c>
      <c r="K50" s="58" t="s">
        <v>294</v>
      </c>
      <c r="L50" s="82" t="s">
        <v>407</v>
      </c>
      <c r="M50" s="83" t="s">
        <v>411</v>
      </c>
      <c r="N50" s="63"/>
      <c r="O50" s="63"/>
      <c r="P50" s="84" t="s">
        <v>288</v>
      </c>
    </row>
    <row r="51" spans="1:16" ht="15" customHeight="1" x14ac:dyDescent="0.25">
      <c r="A51" s="44">
        <v>50</v>
      </c>
      <c r="B51" s="49" t="s">
        <v>334</v>
      </c>
      <c r="C51" s="49" t="s">
        <v>335</v>
      </c>
      <c r="D51" s="49">
        <v>30</v>
      </c>
      <c r="E51" s="49" t="s">
        <v>336</v>
      </c>
      <c r="F51" s="50">
        <v>0.1</v>
      </c>
      <c r="G51" s="51">
        <f t="shared" si="4"/>
        <v>3</v>
      </c>
      <c r="H51" s="52">
        <f t="shared" si="5"/>
        <v>78570</v>
      </c>
      <c r="I51" s="53" t="s">
        <v>337</v>
      </c>
      <c r="J51" s="49" t="s">
        <v>302</v>
      </c>
      <c r="K51" s="49" t="s">
        <v>293</v>
      </c>
      <c r="L51" s="82" t="s">
        <v>387</v>
      </c>
      <c r="M51" s="82" t="s">
        <v>381</v>
      </c>
      <c r="N51" s="63"/>
      <c r="O51" s="63"/>
      <c r="P51" s="84" t="s">
        <v>288</v>
      </c>
    </row>
    <row r="52" spans="1:16" x14ac:dyDescent="0.25">
      <c r="A52" s="44">
        <v>51</v>
      </c>
      <c r="B52" s="49" t="s">
        <v>338</v>
      </c>
      <c r="C52" s="49" t="s">
        <v>339</v>
      </c>
      <c r="D52" s="49">
        <v>30</v>
      </c>
      <c r="E52" s="49" t="s">
        <v>340</v>
      </c>
      <c r="F52" s="50">
        <v>0.13</v>
      </c>
      <c r="G52" s="51">
        <f t="shared" si="4"/>
        <v>3.9000000000000004</v>
      </c>
      <c r="H52" s="52">
        <f t="shared" si="5"/>
        <v>102141.00000000001</v>
      </c>
      <c r="I52" s="53" t="s">
        <v>341</v>
      </c>
      <c r="J52" s="49" t="s">
        <v>302</v>
      </c>
      <c r="K52" s="58" t="s">
        <v>294</v>
      </c>
      <c r="L52" s="82" t="s">
        <v>409</v>
      </c>
      <c r="M52" s="83" t="s">
        <v>411</v>
      </c>
      <c r="N52" s="63"/>
      <c r="O52" s="63"/>
      <c r="P52" s="84" t="s">
        <v>288</v>
      </c>
    </row>
    <row r="53" spans="1:16" ht="15" customHeight="1" x14ac:dyDescent="0.25">
      <c r="A53" s="59">
        <v>52</v>
      </c>
      <c r="B53" s="49" t="s">
        <v>342</v>
      </c>
      <c r="C53" s="49" t="s">
        <v>343</v>
      </c>
      <c r="D53" s="49">
        <v>30</v>
      </c>
      <c r="E53" s="49" t="s">
        <v>344</v>
      </c>
      <c r="F53" s="50">
        <v>0.1</v>
      </c>
      <c r="G53" s="51">
        <f t="shared" si="4"/>
        <v>3</v>
      </c>
      <c r="H53" s="52">
        <f t="shared" si="5"/>
        <v>78570</v>
      </c>
      <c r="I53" s="53" t="s">
        <v>345</v>
      </c>
      <c r="J53" s="49" t="s">
        <v>302</v>
      </c>
      <c r="K53" s="49" t="s">
        <v>293</v>
      </c>
      <c r="L53" s="82" t="s">
        <v>386</v>
      </c>
      <c r="M53" s="82" t="s">
        <v>381</v>
      </c>
      <c r="N53" s="63"/>
      <c r="O53" s="63"/>
      <c r="P53" s="84" t="s">
        <v>288</v>
      </c>
    </row>
    <row r="54" spans="1:16" x14ac:dyDescent="0.25">
      <c r="A54" s="44">
        <v>53</v>
      </c>
      <c r="B54" s="49" t="s">
        <v>346</v>
      </c>
      <c r="C54" s="49" t="s">
        <v>347</v>
      </c>
      <c r="D54" s="49">
        <v>30</v>
      </c>
      <c r="E54" s="49" t="s">
        <v>348</v>
      </c>
      <c r="F54" s="50">
        <v>0.15</v>
      </c>
      <c r="G54" s="51">
        <f t="shared" si="4"/>
        <v>4.5</v>
      </c>
      <c r="H54" s="52">
        <f t="shared" si="5"/>
        <v>117855</v>
      </c>
      <c r="I54" s="53" t="s">
        <v>349</v>
      </c>
      <c r="J54" s="49" t="s">
        <v>302</v>
      </c>
      <c r="K54" s="58" t="s">
        <v>294</v>
      </c>
      <c r="L54" s="82" t="s">
        <v>410</v>
      </c>
      <c r="M54" s="83" t="s">
        <v>411</v>
      </c>
      <c r="N54" s="63"/>
      <c r="O54" s="63"/>
      <c r="P54" s="84" t="s">
        <v>288</v>
      </c>
    </row>
    <row r="55" spans="1:16" x14ac:dyDescent="0.25">
      <c r="A55" s="59">
        <v>54</v>
      </c>
      <c r="B55" s="54" t="s">
        <v>350</v>
      </c>
      <c r="C55" s="54" t="s">
        <v>351</v>
      </c>
      <c r="D55" s="54">
        <v>30</v>
      </c>
      <c r="E55" s="54" t="s">
        <v>352</v>
      </c>
      <c r="F55" s="55">
        <v>0.08</v>
      </c>
      <c r="G55" s="56">
        <f t="shared" si="4"/>
        <v>2.4</v>
      </c>
      <c r="H55" s="57">
        <f t="shared" si="5"/>
        <v>62856</v>
      </c>
      <c r="I55" s="60" t="s">
        <v>353</v>
      </c>
      <c r="J55" s="49" t="s">
        <v>302</v>
      </c>
      <c r="K55" s="58" t="s">
        <v>294</v>
      </c>
      <c r="L55" s="82" t="s">
        <v>408</v>
      </c>
      <c r="M55" s="83" t="s">
        <v>411</v>
      </c>
      <c r="N55" s="63"/>
      <c r="O55" s="64"/>
      <c r="P55" s="84" t="s">
        <v>288</v>
      </c>
    </row>
    <row r="56" spans="1:16" ht="15" customHeight="1" x14ac:dyDescent="0.25">
      <c r="A56" s="61">
        <v>55</v>
      </c>
      <c r="B56" s="49" t="s">
        <v>354</v>
      </c>
      <c r="C56" s="49" t="s">
        <v>355</v>
      </c>
      <c r="D56" s="49">
        <v>4</v>
      </c>
      <c r="E56" s="49" t="s">
        <v>356</v>
      </c>
      <c r="F56" s="50">
        <v>4.05</v>
      </c>
      <c r="G56" s="51">
        <f t="shared" si="4"/>
        <v>16.2</v>
      </c>
      <c r="H56" s="52">
        <f t="shared" si="5"/>
        <v>424278</v>
      </c>
      <c r="I56" s="53" t="s">
        <v>357</v>
      </c>
      <c r="J56" s="49" t="s">
        <v>302</v>
      </c>
      <c r="K56" s="49" t="s">
        <v>286</v>
      </c>
      <c r="L56" s="82"/>
      <c r="M56" s="82"/>
      <c r="N56" s="63"/>
      <c r="O56" s="63"/>
      <c r="P56" s="84" t="s">
        <v>288</v>
      </c>
    </row>
    <row r="57" spans="1:16" ht="15" customHeight="1" x14ac:dyDescent="0.25">
      <c r="A57" s="61">
        <v>56</v>
      </c>
      <c r="B57" s="49" t="s">
        <v>358</v>
      </c>
      <c r="C57" s="49" t="s">
        <v>359</v>
      </c>
      <c r="D57" s="49">
        <v>4</v>
      </c>
      <c r="E57" s="49" t="s">
        <v>360</v>
      </c>
      <c r="F57" s="50">
        <v>5.05</v>
      </c>
      <c r="G57" s="51">
        <f t="shared" si="4"/>
        <v>20.2</v>
      </c>
      <c r="H57" s="52">
        <f t="shared" si="5"/>
        <v>529038</v>
      </c>
      <c r="I57" s="53" t="s">
        <v>361</v>
      </c>
      <c r="J57" s="49" t="s">
        <v>302</v>
      </c>
      <c r="K57" s="49" t="s">
        <v>286</v>
      </c>
      <c r="L57" s="82"/>
      <c r="M57" s="82"/>
      <c r="N57" s="63"/>
      <c r="O57" s="63"/>
      <c r="P57" s="84" t="s">
        <v>288</v>
      </c>
    </row>
    <row r="58" spans="1:16" ht="15" customHeight="1" x14ac:dyDescent="0.25">
      <c r="A58" s="61">
        <v>57</v>
      </c>
      <c r="B58" s="49" t="s">
        <v>362</v>
      </c>
      <c r="C58" s="49" t="s">
        <v>363</v>
      </c>
      <c r="D58" s="49">
        <v>10</v>
      </c>
      <c r="E58" s="49" t="s">
        <v>364</v>
      </c>
      <c r="F58" s="50">
        <v>0.32</v>
      </c>
      <c r="G58" s="51">
        <f t="shared" si="4"/>
        <v>3.2</v>
      </c>
      <c r="H58" s="52">
        <f t="shared" si="5"/>
        <v>83808</v>
      </c>
      <c r="I58" s="53" t="s">
        <v>365</v>
      </c>
      <c r="J58" s="49" t="s">
        <v>302</v>
      </c>
      <c r="K58" s="49" t="s">
        <v>366</v>
      </c>
      <c r="L58" s="82"/>
      <c r="M58" s="82"/>
      <c r="N58" s="63"/>
      <c r="O58" s="63"/>
      <c r="P58" s="84" t="s">
        <v>288</v>
      </c>
    </row>
    <row r="59" spans="1:16" ht="15" customHeight="1" x14ac:dyDescent="0.25">
      <c r="A59" s="61">
        <v>58</v>
      </c>
      <c r="B59" s="49" t="s">
        <v>83</v>
      </c>
      <c r="C59" s="49" t="s">
        <v>84</v>
      </c>
      <c r="D59" s="49">
        <v>10</v>
      </c>
      <c r="E59" s="49" t="s">
        <v>367</v>
      </c>
      <c r="F59" s="50">
        <v>0.36</v>
      </c>
      <c r="G59" s="51">
        <f t="shared" si="4"/>
        <v>3.5999999999999996</v>
      </c>
      <c r="H59" s="52">
        <f t="shared" si="5"/>
        <v>94283.999999999985</v>
      </c>
      <c r="I59" s="53" t="s">
        <v>368</v>
      </c>
      <c r="J59" s="49" t="s">
        <v>302</v>
      </c>
      <c r="K59" s="49" t="s">
        <v>369</v>
      </c>
      <c r="L59" s="82"/>
      <c r="M59" s="82"/>
      <c r="N59" s="63"/>
      <c r="O59" s="63"/>
      <c r="P59" s="84" t="s">
        <v>288</v>
      </c>
    </row>
    <row r="60" spans="1:16" ht="15" customHeight="1" x14ac:dyDescent="0.25">
      <c r="A60" s="61">
        <v>59</v>
      </c>
      <c r="B60" s="49" t="s">
        <v>370</v>
      </c>
      <c r="C60" s="49" t="s">
        <v>371</v>
      </c>
      <c r="D60" s="49">
        <v>25</v>
      </c>
      <c r="E60" s="49" t="s">
        <v>372</v>
      </c>
      <c r="F60" s="50">
        <v>0.1</v>
      </c>
      <c r="G60" s="51">
        <f t="shared" si="4"/>
        <v>2.5</v>
      </c>
      <c r="H60" s="52">
        <f t="shared" si="5"/>
        <v>65475</v>
      </c>
      <c r="I60" s="53" t="s">
        <v>373</v>
      </c>
      <c r="J60" s="49" t="s">
        <v>302</v>
      </c>
      <c r="K60" s="49"/>
      <c r="L60" s="82"/>
      <c r="M60" s="82"/>
      <c r="N60" s="63"/>
      <c r="O60" s="63"/>
      <c r="P60" s="84" t="s">
        <v>288</v>
      </c>
    </row>
    <row r="61" spans="1:16" x14ac:dyDescent="0.25">
      <c r="A61" s="61">
        <v>60</v>
      </c>
      <c r="B61" s="49" t="s">
        <v>374</v>
      </c>
      <c r="C61" s="49" t="s">
        <v>375</v>
      </c>
      <c r="D61" s="49">
        <v>30</v>
      </c>
      <c r="E61" s="49" t="s">
        <v>376</v>
      </c>
      <c r="F61" s="50">
        <v>0.11</v>
      </c>
      <c r="G61" s="51">
        <f t="shared" si="4"/>
        <v>3.3</v>
      </c>
      <c r="H61" s="52">
        <f t="shared" si="5"/>
        <v>86427</v>
      </c>
      <c r="I61" s="53" t="s">
        <v>377</v>
      </c>
      <c r="J61" s="49" t="s">
        <v>302</v>
      </c>
      <c r="K61" s="49" t="s">
        <v>294</v>
      </c>
      <c r="L61" s="82" t="s">
        <v>397</v>
      </c>
      <c r="M61" s="83" t="s">
        <v>411</v>
      </c>
      <c r="N61" s="63"/>
      <c r="O61" s="63"/>
      <c r="P61" s="84" t="s">
        <v>288</v>
      </c>
    </row>
    <row r="62" spans="1:16" ht="15" customHeight="1" x14ac:dyDescent="0.25">
      <c r="A62" s="49">
        <v>61</v>
      </c>
      <c r="B62" s="49" t="s">
        <v>382</v>
      </c>
      <c r="C62" s="49" t="s">
        <v>383</v>
      </c>
      <c r="D62" s="49">
        <v>25</v>
      </c>
      <c r="E62" s="49" t="s">
        <v>384</v>
      </c>
      <c r="F62" s="50">
        <v>0.1</v>
      </c>
      <c r="G62" s="51">
        <f t="shared" si="4"/>
        <v>2.5</v>
      </c>
      <c r="H62" s="52">
        <f t="shared" si="5"/>
        <v>65475</v>
      </c>
      <c r="I62" s="53" t="s">
        <v>394</v>
      </c>
      <c r="J62" s="49" t="s">
        <v>302</v>
      </c>
      <c r="K62" s="49" t="s">
        <v>293</v>
      </c>
      <c r="L62" s="82" t="s">
        <v>385</v>
      </c>
      <c r="M62" s="63" t="s">
        <v>381</v>
      </c>
      <c r="N62" s="63"/>
      <c r="O62" s="63"/>
      <c r="P62" s="84" t="s">
        <v>288</v>
      </c>
    </row>
    <row r="63" spans="1:16" ht="15" customHeight="1" x14ac:dyDescent="0.25">
      <c r="A63" s="61">
        <v>62</v>
      </c>
      <c r="B63" s="49" t="s">
        <v>412</v>
      </c>
      <c r="C63" s="49" t="s">
        <v>413</v>
      </c>
      <c r="D63" s="49">
        <v>25</v>
      </c>
      <c r="E63" s="49" t="s">
        <v>414</v>
      </c>
      <c r="F63" s="50">
        <v>0.34</v>
      </c>
      <c r="G63" s="51">
        <f t="shared" si="4"/>
        <v>8.5</v>
      </c>
      <c r="H63" s="52">
        <f t="shared" si="5"/>
        <v>222615</v>
      </c>
      <c r="I63" s="53" t="s">
        <v>415</v>
      </c>
      <c r="J63" s="49" t="s">
        <v>302</v>
      </c>
      <c r="K63" s="49" t="s">
        <v>294</v>
      </c>
      <c r="L63" s="82" t="s">
        <v>416</v>
      </c>
      <c r="M63" s="83" t="s">
        <v>411</v>
      </c>
      <c r="N63" s="63"/>
      <c r="O63" s="63"/>
      <c r="P63" s="84" t="s">
        <v>288</v>
      </c>
    </row>
    <row r="64" spans="1:16" ht="15" customHeight="1" x14ac:dyDescent="0.25">
      <c r="A64" s="49">
        <v>63</v>
      </c>
      <c r="B64" s="49" t="s">
        <v>417</v>
      </c>
      <c r="C64" s="49" t="s">
        <v>418</v>
      </c>
      <c r="D64" s="49">
        <v>25</v>
      </c>
      <c r="E64" s="49" t="s">
        <v>419</v>
      </c>
      <c r="F64" s="50">
        <v>0.1</v>
      </c>
      <c r="G64" s="51">
        <f t="shared" si="4"/>
        <v>2.5</v>
      </c>
      <c r="H64" s="52">
        <f t="shared" si="5"/>
        <v>65475</v>
      </c>
      <c r="I64" s="53" t="s">
        <v>420</v>
      </c>
      <c r="J64" s="49" t="s">
        <v>302</v>
      </c>
      <c r="K64" s="49" t="s">
        <v>294</v>
      </c>
      <c r="L64" s="82" t="s">
        <v>421</v>
      </c>
      <c r="M64" s="83" t="s">
        <v>411</v>
      </c>
      <c r="N64" s="63"/>
      <c r="O64" s="63"/>
      <c r="P64" s="84" t="s">
        <v>288</v>
      </c>
    </row>
    <row r="65" spans="1:16" x14ac:dyDescent="0.25">
      <c r="A65" s="85"/>
      <c r="B65" s="7"/>
      <c r="C65" s="7"/>
      <c r="D65" s="7"/>
      <c r="E65" s="7"/>
      <c r="F65" s="86"/>
      <c r="G65" s="87"/>
      <c r="H65" s="88"/>
      <c r="I65" s="11"/>
      <c r="J65" s="92" t="s">
        <v>423</v>
      </c>
      <c r="K65" s="7"/>
      <c r="L65" s="89"/>
      <c r="M65" s="90"/>
      <c r="N65" s="91"/>
      <c r="O65" s="91"/>
      <c r="P65" s="93" t="s">
        <v>422</v>
      </c>
    </row>
    <row r="66" spans="1:16" x14ac:dyDescent="0.25">
      <c r="A66" s="7"/>
      <c r="B66" s="7"/>
      <c r="C66" s="7"/>
      <c r="D66" s="7"/>
      <c r="E66" s="7"/>
      <c r="F66" s="86"/>
      <c r="G66" s="87"/>
      <c r="H66" s="88"/>
      <c r="I66" s="11"/>
      <c r="J66" s="92" t="s">
        <v>423</v>
      </c>
      <c r="K66" s="7"/>
      <c r="L66" s="89"/>
      <c r="M66" s="91"/>
      <c r="N66" s="91"/>
      <c r="O66" s="91"/>
      <c r="P66" s="93" t="s">
        <v>422</v>
      </c>
    </row>
    <row r="67" spans="1:16" x14ac:dyDescent="0.25">
      <c r="A67" s="85"/>
      <c r="B67" s="7"/>
      <c r="C67" s="7"/>
      <c r="D67" s="7"/>
      <c r="E67" s="7"/>
      <c r="F67" s="86"/>
      <c r="G67" s="87"/>
      <c r="H67" s="88"/>
      <c r="I67" s="11"/>
      <c r="J67" s="92" t="s">
        <v>423</v>
      </c>
      <c r="K67" s="7"/>
      <c r="L67" s="89"/>
      <c r="M67" s="90"/>
      <c r="N67" s="91"/>
      <c r="O67" s="91"/>
      <c r="P67" s="93" t="s">
        <v>422</v>
      </c>
    </row>
    <row r="68" spans="1:16" x14ac:dyDescent="0.25">
      <c r="A68" s="7"/>
      <c r="B68" s="7"/>
      <c r="C68" s="7"/>
      <c r="D68" s="7"/>
      <c r="E68" s="7"/>
      <c r="F68" s="86"/>
      <c r="G68" s="87"/>
      <c r="H68" s="88"/>
      <c r="I68" s="11"/>
      <c r="J68" s="92" t="s">
        <v>423</v>
      </c>
      <c r="K68" s="7"/>
      <c r="L68" s="89"/>
      <c r="M68" s="90"/>
      <c r="N68" s="91"/>
      <c r="O68" s="91"/>
      <c r="P68" s="93" t="s">
        <v>422</v>
      </c>
    </row>
  </sheetData>
  <autoFilter ref="A2:O64" xr:uid="{747E0CC7-6E6D-4183-93BC-AACC20AF9C33}"/>
  <mergeCells count="1">
    <mergeCell ref="A1:P1"/>
  </mergeCells>
  <hyperlinks>
    <hyperlink ref="I4" r:id="rId1" xr:uid="{F9631EE1-6D71-455B-A56B-5495FE513A60}"/>
    <hyperlink ref="I3" r:id="rId2" xr:uid="{39E8DC64-4FE3-4098-92E7-C46F847E3E62}"/>
    <hyperlink ref="I5" r:id="rId3" xr:uid="{BB37EB7F-FE6D-4D69-965F-9E18A8B7C85F}"/>
    <hyperlink ref="I6" r:id="rId4" xr:uid="{A10F2F4B-F46F-4717-AD85-4F3B5039BE9A}"/>
    <hyperlink ref="I7" r:id="rId5" xr:uid="{04D01955-CDCC-4488-8E8B-775416359690}"/>
    <hyperlink ref="I8" r:id="rId6" xr:uid="{50A86039-32EE-4B92-BE60-F8B1E8319889}"/>
    <hyperlink ref="I9" r:id="rId7" xr:uid="{62FC9455-2481-4657-9580-AA13FE94C31B}"/>
    <hyperlink ref="I11" r:id="rId8" xr:uid="{2C1278FD-D09F-4E66-A9DB-4C9F934A1088}"/>
    <hyperlink ref="I10" r:id="rId9" xr:uid="{B2DFEF7B-C335-4DAC-B275-B697D04492B8}"/>
    <hyperlink ref="I12" r:id="rId10" xr:uid="{6784DE1B-F01C-4F31-9697-B701FE973EC1}"/>
    <hyperlink ref="I13" r:id="rId11" xr:uid="{CB6AF7D2-4AD3-40EF-BC8B-CA8D23380250}"/>
    <hyperlink ref="I14" r:id="rId12" display="https://www.digikey.com/en/products/detail/vishay-dale/tnpw06031k78beea/1606793" xr:uid="{44B1180A-101F-402A-8677-7116A21E40CC}"/>
    <hyperlink ref="I15" r:id="rId13" xr:uid="{248A9B5C-57B4-4154-AF62-07C1A6F81D1E}"/>
    <hyperlink ref="I16" r:id="rId14" xr:uid="{0E3976FD-D974-4CCD-B06F-E05856FFBEE4}"/>
    <hyperlink ref="I17" r:id="rId15" xr:uid="{A19D586D-7B3F-44A3-B269-2EE8B3DACACC}"/>
    <hyperlink ref="I18" r:id="rId16" xr:uid="{6CEBB861-6700-445F-89E1-8290905D1FE0}"/>
    <hyperlink ref="I19" r:id="rId17" xr:uid="{8224CB48-B6E3-4F9E-B8C6-AADE2C3E9F83}"/>
    <hyperlink ref="I20" r:id="rId18" xr:uid="{13D5C020-B9C3-411D-8E3C-6AAB1CF67F2E}"/>
    <hyperlink ref="I21" r:id="rId19" xr:uid="{F16D602E-042C-4EEB-93D7-323232F9A436}"/>
    <hyperlink ref="I22" r:id="rId20" xr:uid="{88B0BAB8-80C0-4DF5-98A9-DCE2F26F6EDC}"/>
    <hyperlink ref="I23" r:id="rId21" xr:uid="{BD1EB5E1-D066-4AC2-9845-83E0F5868E58}"/>
    <hyperlink ref="I24" r:id="rId22" xr:uid="{57823018-77AE-42CF-851B-1D8BFB7FC65F}"/>
    <hyperlink ref="I25" r:id="rId23" xr:uid="{BB6F9E96-1C94-43E3-A5FA-C3080CCADF1F}"/>
    <hyperlink ref="I26" r:id="rId24" xr:uid="{9D760C81-CC04-46C6-AB17-BA09B0FA9BB5}"/>
    <hyperlink ref="I27" r:id="rId25" xr:uid="{A87D0F3D-0A9B-4EA4-B53A-FFD099571F29}"/>
    <hyperlink ref="I28" r:id="rId26" xr:uid="{FD75EF13-0E5D-48EC-8F61-A365B44B607F}"/>
    <hyperlink ref="I29" r:id="rId27" xr:uid="{60E10EFD-EE17-45E6-B08E-E07A0BF8A51C}"/>
    <hyperlink ref="I30" r:id="rId28" xr:uid="{C63484B2-8082-433E-B34A-347FB00D54F3}"/>
    <hyperlink ref="I31" r:id="rId29" xr:uid="{FA5A1279-2FA9-44AC-859D-A8E89CD763BB}"/>
    <hyperlink ref="I32" r:id="rId30" display="https://www.digikey.com/en/products/detail/panasonic-electronic-components/ERJ-3EKF49R9V/196378" xr:uid="{E251C8B6-DF55-42E8-B152-58C4A06C19C4}"/>
    <hyperlink ref="I33" r:id="rId31" xr:uid="{8EFBD9BA-BBD4-4293-91B9-9D10432B4F51}"/>
    <hyperlink ref="I34" r:id="rId32" xr:uid="{E92113FD-5798-4D94-BA4F-98E5C32F6888}"/>
    <hyperlink ref="I35" r:id="rId33" xr:uid="{F7EF0D67-ABE9-426E-A552-7221AEE42B18}"/>
    <hyperlink ref="I36" r:id="rId34" xr:uid="{E7C16EEA-36A4-4529-9A67-F3511CD55CFC}"/>
    <hyperlink ref="I37" r:id="rId35" xr:uid="{C9BA7B6B-2154-4806-81C6-393F75F2E9AA}"/>
    <hyperlink ref="I38" r:id="rId36" xr:uid="{9051E02B-ECEC-4832-AAA4-9C61125D7F6D}"/>
    <hyperlink ref="I39" r:id="rId37" xr:uid="{401100F3-98DF-4E52-8342-EF1EB759564C}"/>
    <hyperlink ref="I40" r:id="rId38" xr:uid="{96BAA354-94E8-4A48-8AE4-503D19F30B44}"/>
    <hyperlink ref="I41" r:id="rId39" xr:uid="{68E84F52-8A12-4E69-807C-48E4723636DD}"/>
    <hyperlink ref="I42" r:id="rId40" xr:uid="{04F23CCE-E5BD-4DB2-97CA-195AE853484C}"/>
    <hyperlink ref="I43" r:id="rId41" xr:uid="{471887FD-22F5-46A1-8E51-06DC93AD927D}"/>
    <hyperlink ref="I44" r:id="rId42" xr:uid="{A1A8392F-EFAA-4071-9BE6-49156021DBA8}"/>
    <hyperlink ref="I45" r:id="rId43" xr:uid="{36917E24-8B9D-4AD6-A1F0-14766A32330C}"/>
    <hyperlink ref="I46" r:id="rId44" xr:uid="{30DD66E3-6202-4841-9179-CE2CA3B989BE}"/>
    <hyperlink ref="I47" r:id="rId45" xr:uid="{9B022653-1A60-47F2-92FD-3309E83040DF}"/>
    <hyperlink ref="I48" r:id="rId46" xr:uid="{53ED7A5D-3188-44A2-B014-CD57419F1289}"/>
    <hyperlink ref="I49" r:id="rId47" xr:uid="{3EB3B1BC-F0E4-46EC-9D81-28E09C0B5A41}"/>
    <hyperlink ref="I50" r:id="rId48" xr:uid="{291FB708-52E4-43C8-8C6A-499D008FC41A}"/>
    <hyperlink ref="I51" r:id="rId49" xr:uid="{599577FC-36E1-4847-BFA6-11C9C364C8F1}"/>
    <hyperlink ref="I52" r:id="rId50" xr:uid="{56D82D0B-A5D6-43BE-94B8-88C497A95C74}"/>
    <hyperlink ref="I53" r:id="rId51" xr:uid="{55BCC166-6F60-4B1D-957F-B300814A3F54}"/>
    <hyperlink ref="I54" r:id="rId52" xr:uid="{A0A9F7F1-4532-45FC-8024-85BC02CA6A6F}"/>
    <hyperlink ref="I56" r:id="rId53" xr:uid="{494A732A-DFC4-4D82-A152-5816624C4AA2}"/>
    <hyperlink ref="I55" r:id="rId54" xr:uid="{4CA04244-1125-4880-A52A-82668BCA3E2E}"/>
    <hyperlink ref="I57" r:id="rId55" xr:uid="{624FBCC9-05C4-48EC-823B-8B6BE9D133A4}"/>
    <hyperlink ref="I58" r:id="rId56" xr:uid="{0587A46E-76A0-42D7-A1A8-1DBACF3B329F}"/>
    <hyperlink ref="I59" r:id="rId57" xr:uid="{999E9CA3-1788-4449-B55B-8FB2DC4D4B2A}"/>
    <hyperlink ref="I60" r:id="rId58" xr:uid="{1DEE8E52-E762-41B0-AF07-AFCE39BA251E}"/>
    <hyperlink ref="I61" r:id="rId59" xr:uid="{C53BCC2C-186D-403C-87DC-8FF87C439270}"/>
    <hyperlink ref="I62" r:id="rId60" xr:uid="{A4DBB77D-1AED-4AB9-9B89-DD2CA43108A3}"/>
    <hyperlink ref="I63" r:id="rId61" xr:uid="{17410945-402B-49CF-ACDC-AAB1F8149C69}"/>
    <hyperlink ref="I64" r:id="rId62" xr:uid="{6710DE1B-14C4-4F72-ABE9-AF2D0EFED7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BOM_1</vt:lpstr>
      <vt:lpstr>BOM_2</vt:lpstr>
      <vt:lpstr>Biên</vt:lpstr>
      <vt:lpstr>Minh</vt:lpstr>
      <vt:lpstr>Khôi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Khôi Võ Tấn</dc:creator>
  <cp:keywords/>
  <dc:description/>
  <cp:lastModifiedBy>Minh Khôi Võ Tấn</cp:lastModifiedBy>
  <cp:revision/>
  <dcterms:created xsi:type="dcterms:W3CDTF">2026-03-02T17:16:44Z</dcterms:created>
  <dcterms:modified xsi:type="dcterms:W3CDTF">2026-03-08T09:33:41Z</dcterms:modified>
  <cp:category/>
  <cp:contentStatus/>
</cp:coreProperties>
</file>