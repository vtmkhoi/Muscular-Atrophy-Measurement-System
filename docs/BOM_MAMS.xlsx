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minhk\OneDrive\Education\Master\04_Projects\Muscular-Atrophy-Measurement-System\docs\"/>
    </mc:Choice>
  </mc:AlternateContent>
  <xr:revisionPtr revIDLastSave="0" documentId="13_ncr:1_{FF5EE8BA-5374-40BC-BB84-5B7A74AE7DCC}" xr6:coauthVersionLast="47" xr6:coauthVersionMax="47" xr10:uidLastSave="{00000000-0000-0000-0000-000000000000}"/>
  <bookViews>
    <workbookView xWindow="-120" yWindow="-120" windowWidth="38640" windowHeight="21120" xr2:uid="{31CB3DE3-ED4B-4D40-BA7C-ABCB199A1E4A}"/>
  </bookViews>
  <sheets>
    <sheet name="Khôi" sheetId="1" r:id="rId1"/>
    <sheet name="Sheet1" sheetId="2" r:id="rId2"/>
  </sheets>
  <definedNames>
    <definedName name="_xlnm._FilterDatabase" localSheetId="0" hidden="1">Khôi!$A$1:$Q$78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9" i="1" l="1"/>
  <c r="I79" i="1" s="1"/>
  <c r="H78" i="1"/>
  <c r="I78" i="1" s="1"/>
  <c r="H77" i="1"/>
  <c r="I77" i="1" s="1"/>
  <c r="H76" i="1"/>
  <c r="I76" i="1" s="1"/>
  <c r="H75" i="1"/>
  <c r="I75" i="1" s="1"/>
  <c r="H74" i="1"/>
  <c r="I74" i="1"/>
  <c r="H73" i="1"/>
  <c r="I73" i="1" s="1"/>
  <c r="H72" i="1"/>
  <c r="I72" i="1" s="1"/>
  <c r="H71" i="1"/>
  <c r="I71" i="1" s="1"/>
  <c r="H70" i="1"/>
  <c r="I70" i="1"/>
  <c r="H68" i="1"/>
  <c r="I68" i="1" s="1"/>
  <c r="H67" i="1"/>
  <c r="I67" i="1" s="1"/>
  <c r="H66" i="1"/>
  <c r="I66" i="1" s="1"/>
  <c r="H69" i="1"/>
  <c r="I69" i="1" s="1"/>
  <c r="H65" i="1"/>
  <c r="I65" i="1" s="1"/>
  <c r="H64" i="1"/>
  <c r="I64" i="1" s="1"/>
  <c r="H2" i="1"/>
  <c r="I2" i="1" s="1"/>
  <c r="H3" i="1"/>
  <c r="I3" i="1" s="1"/>
  <c r="H4" i="1"/>
  <c r="I4" i="1" s="1"/>
  <c r="H5" i="1"/>
  <c r="I5" i="1" s="1"/>
  <c r="H6" i="1"/>
  <c r="I6" i="1" s="1"/>
  <c r="H7" i="1"/>
  <c r="I7" i="1" s="1"/>
  <c r="H8" i="1"/>
  <c r="I8" i="1" s="1"/>
  <c r="H9" i="1"/>
  <c r="I9" i="1" s="1"/>
  <c r="H10" i="1"/>
  <c r="I10" i="1" s="1"/>
  <c r="H11" i="1"/>
  <c r="I11" i="1" s="1"/>
  <c r="H12" i="1"/>
  <c r="I12" i="1" s="1"/>
  <c r="H13" i="1"/>
  <c r="I13" i="1" s="1"/>
  <c r="H14" i="1"/>
  <c r="I14" i="1" s="1"/>
  <c r="H15" i="1"/>
  <c r="I15" i="1" s="1"/>
  <c r="H16" i="1"/>
  <c r="I16" i="1" s="1"/>
  <c r="H17" i="1"/>
  <c r="I17" i="1" s="1"/>
  <c r="H18" i="1"/>
  <c r="I18" i="1" s="1"/>
  <c r="H19" i="1"/>
  <c r="I19" i="1" s="1"/>
  <c r="H20" i="1"/>
  <c r="I20" i="1" s="1"/>
  <c r="H21" i="1"/>
  <c r="I21" i="1" s="1"/>
  <c r="H22" i="1"/>
  <c r="I22" i="1" s="1"/>
  <c r="H23" i="1"/>
  <c r="I23" i="1" s="1"/>
  <c r="H24" i="1"/>
  <c r="I24" i="1" s="1"/>
  <c r="H25" i="1"/>
  <c r="I25" i="1" s="1"/>
  <c r="H26" i="1"/>
  <c r="I26" i="1" s="1"/>
  <c r="H27" i="1"/>
  <c r="I27" i="1" s="1"/>
  <c r="H28" i="1"/>
  <c r="I28" i="1" s="1"/>
  <c r="H29" i="1"/>
  <c r="I29" i="1" s="1"/>
  <c r="H30" i="1"/>
  <c r="I30" i="1" s="1"/>
  <c r="H31" i="1"/>
  <c r="I31" i="1" s="1"/>
  <c r="H32" i="1"/>
  <c r="I32" i="1" s="1"/>
  <c r="H33" i="1"/>
  <c r="I33" i="1" s="1"/>
  <c r="H34" i="1"/>
  <c r="I34" i="1" s="1"/>
  <c r="H35" i="1"/>
  <c r="I35" i="1" s="1"/>
  <c r="H36" i="1"/>
  <c r="I36" i="1" s="1"/>
  <c r="H37" i="1"/>
  <c r="I37" i="1" s="1"/>
  <c r="H38" i="1"/>
  <c r="I38" i="1" s="1"/>
  <c r="H39" i="1"/>
  <c r="I39" i="1" s="1"/>
  <c r="H40" i="1"/>
  <c r="I40" i="1" s="1"/>
  <c r="H41" i="1"/>
  <c r="I41" i="1" s="1"/>
  <c r="H42" i="1"/>
  <c r="I42" i="1" s="1"/>
  <c r="H43" i="1"/>
  <c r="I43" i="1" s="1"/>
  <c r="H44" i="1"/>
  <c r="I44" i="1" s="1"/>
  <c r="H45" i="1"/>
  <c r="I45" i="1" s="1"/>
  <c r="H46" i="1"/>
  <c r="I46" i="1" s="1"/>
  <c r="H47" i="1"/>
  <c r="I47" i="1" s="1"/>
  <c r="H48" i="1"/>
  <c r="I48" i="1" s="1"/>
  <c r="H49" i="1"/>
  <c r="I49" i="1" s="1"/>
  <c r="H50" i="1"/>
  <c r="I50" i="1" s="1"/>
  <c r="H51" i="1"/>
  <c r="I51" i="1" s="1"/>
  <c r="H52" i="1"/>
  <c r="I52" i="1" s="1"/>
  <c r="H53" i="1"/>
  <c r="I53" i="1" s="1"/>
  <c r="H54" i="1"/>
  <c r="I54" i="1" s="1"/>
  <c r="H55" i="1"/>
  <c r="I55" i="1" s="1"/>
  <c r="H56" i="1"/>
  <c r="I56" i="1" s="1"/>
  <c r="H57" i="1"/>
  <c r="I57" i="1" s="1"/>
  <c r="H58" i="1"/>
  <c r="I58" i="1" s="1"/>
  <c r="H59" i="1"/>
  <c r="I59" i="1" s="1"/>
  <c r="H60" i="1"/>
  <c r="I60" i="1" s="1"/>
  <c r="H61" i="1"/>
  <c r="I61" i="1" s="1"/>
  <c r="H62" i="1"/>
  <c r="I62" i="1" s="1"/>
  <c r="H63" i="1"/>
  <c r="I63" i="1" s="1"/>
  <c r="T3" i="1" l="1"/>
  <c r="T2" i="1"/>
  <c r="T4" i="1" s="1"/>
</calcChain>
</file>

<file path=xl/sharedStrings.xml><?xml version="1.0" encoding="utf-8"?>
<sst xmlns="http://schemas.openxmlformats.org/spreadsheetml/2006/main" count="1042" uniqueCount="497">
  <si>
    <t>No.</t>
  </si>
  <si>
    <t>DigiKey Part Number</t>
  </si>
  <si>
    <t>Manufacturer Product Number</t>
  </si>
  <si>
    <t>Quant.</t>
  </si>
  <si>
    <t>Description</t>
  </si>
  <si>
    <t>Price per Unit ($)</t>
  </si>
  <si>
    <t>Total Price ($)</t>
  </si>
  <si>
    <t>Total Price (VND)</t>
  </si>
  <si>
    <t>Link DigitalKey</t>
  </si>
  <si>
    <t>status</t>
  </si>
  <si>
    <t>Category</t>
  </si>
  <si>
    <t>Value</t>
  </si>
  <si>
    <t>Unit</t>
  </si>
  <si>
    <t>Package</t>
  </si>
  <si>
    <t>System</t>
  </si>
  <si>
    <t>AD9834BRUZ-REEL7TR-ND</t>
  </si>
  <si>
    <t>AD9834BRUZ-REEL7</t>
  </si>
  <si>
    <t>IC DDS 50MHZ 10BIT 20TSSOP</t>
  </si>
  <si>
    <t>https://www.digikey.com/en/products/detail/analog-devices-inc/AD9834BRUZ-REEL7/994992</t>
  </si>
  <si>
    <t>Ordering</t>
  </si>
  <si>
    <t>IC</t>
  </si>
  <si>
    <t>NaN</t>
  </si>
  <si>
    <t>N/A</t>
  </si>
  <si>
    <t>20-TSSOP</t>
  </si>
  <si>
    <t>EIM</t>
  </si>
  <si>
    <t>Total cost USDT</t>
  </si>
  <si>
    <t>505-AD8302ARUZ-ND</t>
  </si>
  <si>
    <t>AD8302ARUZ</t>
  </si>
  <si>
    <t>IC RF DETECT 2.7GHZ 14TSSOP</t>
  </si>
  <si>
    <t>https://www.mouser.vn/ProductDetail/Analog-Devices/AD8302ARUZ-RL7?qs=%2FtpEQrCGXCxf7u2FSUHSPQ%3D%3D</t>
  </si>
  <si>
    <t>Done</t>
  </si>
  <si>
    <t>14-TSSOP</t>
  </si>
  <si>
    <t>Tocal Cost VND</t>
  </si>
  <si>
    <t>497-14909-ND</t>
  </si>
  <si>
    <t>STM32F411RET6</t>
  </si>
  <si>
    <t>IC MCU 32BIT 512KB FLASH 64LQFP</t>
  </si>
  <si>
    <t>https://www.digikey.com/en/products/detail/stmicroelectronics/STM32F411RET6/4935722</t>
  </si>
  <si>
    <t>uC</t>
  </si>
  <si>
    <t>64-LQFP (10x10)</t>
  </si>
  <si>
    <t>Total Cost China</t>
  </si>
  <si>
    <t>505-AD8130ARMZ-REELTR-ND</t>
  </si>
  <si>
    <t>AD8130ARMZ-REEL</t>
  </si>
  <si>
    <t>IC OPAMP DIFF 1 CIRCUIT 8MSOP</t>
  </si>
  <si>
    <t>https://www.digikey.com/en/products/detail/analog-devices-inc/AD8130ARMZ-REEL/994072</t>
  </si>
  <si>
    <t>8-TSSOP</t>
  </si>
  <si>
    <t>541-3194-2-ND</t>
  </si>
  <si>
    <t>TNPW06036K80BEEA</t>
  </si>
  <si>
    <t>RES 6.8K OHM 0.1% 0.21W 0603</t>
  </si>
  <si>
    <t>https://www.digikey.com/en/products/detail/vishay-dale/TNPW06036K80BEEA/1606862?s=N4IgTCBcDaICoDkAKB1ADANjQZgwaQA40AhAUVIEEQBdAXyA</t>
  </si>
  <si>
    <t>Resistor</t>
  </si>
  <si>
    <r>
      <t>Ohm (</t>
    </r>
    <r>
      <rPr>
        <b/>
        <sz val="11"/>
        <color theme="1"/>
        <rFont val="Aptos Narrow"/>
        <family val="2"/>
        <scheme val="minor"/>
      </rPr>
      <t>Ω</t>
    </r>
    <r>
      <rPr>
        <sz val="11"/>
        <color theme="1"/>
        <rFont val="Aptos Narrow"/>
        <family val="2"/>
        <scheme val="minor"/>
      </rPr>
      <t>)</t>
    </r>
  </si>
  <si>
    <t>0603</t>
  </si>
  <si>
    <t>541-3049-2-ND</t>
  </si>
  <si>
    <t>TNPW0603200RBEEA</t>
  </si>
  <si>
    <t>RES 200 OHM 0.1% 0.21W 0603</t>
  </si>
  <si>
    <t>https://www.digikey.com/en/products/detail/vishay-dale/TNPW0603200RBEEA/1606685?s=N4IgTCBcDaICoDkAKB1ADANjQZjGtASgEICiJAgiALoC%2BQA</t>
  </si>
  <si>
    <t>541-3634-2-ND</t>
  </si>
  <si>
    <t>TNPW0603280RBEEA</t>
  </si>
  <si>
    <t>RES 280 OHM 0.1% 0.21W 0603</t>
  </si>
  <si>
    <t>https://www.digikey.com/en/products/detail/vishay-dale/tnpw0603280rbeea/1606702</t>
  </si>
  <si>
    <t>TNPW06031K00BEEA</t>
  </si>
  <si>
    <t>TNP1.00KAATR-ND</t>
  </si>
  <si>
    <t>RES 1K OHM 0.1% 0.21W 0603</t>
  </si>
  <si>
    <t>https://www.digikey.com/en/products/detail/vishay-dale/TNPW06031K00BEEA/1606767?s=N4IgTCBcDaICoDkAKBGAdABgwaQIK7gCUBaBAERAF0BfIA</t>
  </si>
  <si>
    <t>311-22.0HRTR-ND</t>
  </si>
  <si>
    <t>RC0603FR-0722RL</t>
  </si>
  <si>
    <t>RES 22 OHM 1% 1/10W 0603</t>
  </si>
  <si>
    <t>https://www.digikey.com/en/products/detail/yageo/RC0603FR-0722RL/727055?s=N4IgTCBcDaIEoGEAMA2JBmAYnAtEg7GGHADIgC6AvkA</t>
  </si>
  <si>
    <t>RC0603JR-070RL</t>
  </si>
  <si>
    <t>RES 0 OHM JUMPER 1/10W 0603</t>
  </si>
  <si>
    <t>https://www.digikey.com/en/products/detail/yageo/RC0603JR-070RL/726675?s=N4IgTCBcDaIEoGEAMA2JBmAUnAtEg7EnADIgC6AvkA</t>
  </si>
  <si>
    <t>541-2030-2-ND</t>
  </si>
  <si>
    <t>TNPW0603499RBEEA</t>
  </si>
  <si>
    <t>RES 499 OHM 0.1% 0.21W 0603</t>
  </si>
  <si>
    <t>https://www.digikey.com/en/products/detail/vishay-dale/tnpw0603499rbeea/1606732</t>
  </si>
  <si>
    <t>TNPW06031K78BEEA</t>
  </si>
  <si>
    <t>541-TNPW06031K78BEEATR-ND</t>
  </si>
  <si>
    <t>RES 1.78K OHM 0.1% 0.21W 0603</t>
  </si>
  <si>
    <t>311-510HRTR-ND</t>
  </si>
  <si>
    <t>RC0603FR-07510RL</t>
  </si>
  <si>
    <t>RES 510 OHM 1% 1/10W 0603</t>
  </si>
  <si>
    <t>https://www.digikey.com/en/products/detail/yageo/rc0603fr-07510rl/727285</t>
  </si>
  <si>
    <t>2266-RC0603FR-072K67LTR-ND</t>
  </si>
  <si>
    <t>RC0603FR-072K67L</t>
  </si>
  <si>
    <t>RES 2.67K OHM 1% 0.1W, 1/10W 0603</t>
  </si>
  <si>
    <t>https://www.digikey.com/en/products/detail/yageo-america/rc0603fr-072k67l/22283163</t>
  </si>
  <si>
    <t>311-51.0HRTR-ND</t>
  </si>
  <si>
    <t>RC0603FR-0751RL</t>
  </si>
  <si>
    <t>RES 51 OHM 1% 1/10W 0603</t>
  </si>
  <si>
    <t>https://www.digikey.com/en/products/detail/yageo/rc0603fr-0751rl/727281</t>
  </si>
  <si>
    <t>311-10.0KHRTR-ND</t>
  </si>
  <si>
    <t>RC0603FR-0710KL</t>
  </si>
  <si>
    <t>RES 10K OHM 1% 1/10W 0603</t>
  </si>
  <si>
    <t>https://www.digikey.com/en/products/detail/yageo/rc0603fr-0710kl/726880</t>
  </si>
  <si>
    <t>10K</t>
  </si>
  <si>
    <t>TNP10.0AATR-ND</t>
  </si>
  <si>
    <t>TNPW060310R0BEEA</t>
  </si>
  <si>
    <t>RES 10 OHM 0.1% 0.21W 0603</t>
  </si>
  <si>
    <t>https://www.digikey.com/en/products/detail/vishay-dale/tnpw060310r0beea/1606539</t>
  </si>
  <si>
    <t>490-1410-2-ND</t>
  </si>
  <si>
    <t>GRM1885C1H200JA01D</t>
  </si>
  <si>
    <t>CAP CER 20PF 50V C0G/NP0 0603</t>
  </si>
  <si>
    <t>https://www.digikey.com/en/products/detail/murata-electronics/GRM1885C1H200JA01D/586920</t>
  </si>
  <si>
    <t>Capacitor</t>
  </si>
  <si>
    <t>20p</t>
  </si>
  <si>
    <t>Farad (F)</t>
  </si>
  <si>
    <t>490-10700-2-ND</t>
  </si>
  <si>
    <t>GRM155R71H104KE14D</t>
  </si>
  <si>
    <t>CAP CER 0.1UF 50V X7R 0603</t>
  </si>
  <si>
    <t>https://www.digikey.com/en/products/detail/kemet/C0603C104K5RACTU/1465594</t>
  </si>
  <si>
    <t>0.1u</t>
  </si>
  <si>
    <t>399-C0603C105K3RACTUTR-ND</t>
  </si>
  <si>
    <t>C0603C105K3RACTU</t>
  </si>
  <si>
    <t>CAP CER 1UF 25V X7R 0603</t>
  </si>
  <si>
    <t>https://www.digikey.com/en/products/detail/kemet/C0603C105K3RACTU/3317410</t>
  </si>
  <si>
    <t>GRM1555C1H1R0WA01J-ND</t>
  </si>
  <si>
    <t>GRM1555C1H1R0WA01J</t>
  </si>
  <si>
    <t>CAP CER 1PF 50V C0G/NP0 0402</t>
  </si>
  <si>
    <t>https://www.digikey.com/en/products/detail/murata-electronics/grm1555c1h1r0wa01j/4904825</t>
  </si>
  <si>
    <t>0402</t>
  </si>
  <si>
    <t>311-1873-2-ND</t>
  </si>
  <si>
    <t>CC0805KKX5R9BB225</t>
  </si>
  <si>
    <t>CAP CER 2.2UF 50V X5R 0805</t>
  </si>
  <si>
    <t>https://www.digikey.com/en/products/detail/yageo/CC0805KKX5R9BB225/5195775</t>
  </si>
  <si>
    <t>0805</t>
  </si>
  <si>
    <t>490-16772-2-ND</t>
  </si>
  <si>
    <t>GRM1885C1H181JA01J</t>
  </si>
  <si>
    <t>CAP CER 180PF 50V C0G/NP0 0603</t>
  </si>
  <si>
    <t>https://www.digikey.com/en/products/detail/murata-electronics/grm1885c1h181ja01j/2611094</t>
  </si>
  <si>
    <t>180p</t>
  </si>
  <si>
    <t>490-1438-2-ND</t>
  </si>
  <si>
    <t>GRM1885C1H301JA01D</t>
  </si>
  <si>
    <t>CAP CER 300PF 50V C0G/NP0 0603</t>
  </si>
  <si>
    <t>https://www.digikey.com/en/products/detail/murata-electronics/grm1885c1h301ja01d/586964</t>
  </si>
  <si>
    <t>300p</t>
  </si>
  <si>
    <t>490-16776-2-ND</t>
  </si>
  <si>
    <t>GRM1885C1H331JA01J</t>
  </si>
  <si>
    <t>CAP CER 330PF 50V C0G/NP0 0603</t>
  </si>
  <si>
    <t>https://www.digikey.com/en/products/detail/murata-electronics/grm1885c1h331ja01j/2611160</t>
  </si>
  <si>
    <t>330p</t>
  </si>
  <si>
    <t>490-11457-2-ND</t>
  </si>
  <si>
    <t>GRM1885C1H271JA01J</t>
  </si>
  <si>
    <t>CAP CER 270PF 50V C0G/NP0 0603</t>
  </si>
  <si>
    <t>https://www.digikey.com/en/products/detail/murata-electronics/grm1885c1h271ja01j/2611130</t>
  </si>
  <si>
    <t>270p</t>
  </si>
  <si>
    <t>490-1419-2-ND</t>
  </si>
  <si>
    <t>GRM1885C1H470JA01D</t>
  </si>
  <si>
    <t>CAP CER 47PF 50V C0G/NP0 0603</t>
  </si>
  <si>
    <t>https://www.digikey.com/en/products/detail/murata-electronics/GRM1885C1H470JA01D/586904</t>
  </si>
  <si>
    <t>47p</t>
  </si>
  <si>
    <t>490-3285-2-ND</t>
  </si>
  <si>
    <t>GRM188R72A104KA35D</t>
  </si>
  <si>
    <t>CAP CER 0.1UF 100V X7R 0603</t>
  </si>
  <si>
    <t>https://www.digikey.com/en/products/detail/murata-electronics/GRM188R72A104KA35D/702826</t>
  </si>
  <si>
    <t>490-GRM188R72A103KA01DTR-ND</t>
  </si>
  <si>
    <t>GRM188R72A103KA01D</t>
  </si>
  <si>
    <t>CAP CER 10000PF 100V X7R 0603</t>
  </si>
  <si>
    <t>https://www.digikey.com/en/products/detail/murata-electronics/GRM188R72A103KA01D/3845635</t>
  </si>
  <si>
    <t>P49.9HTR-ND</t>
  </si>
  <si>
    <t>ERJ-3EKF49R9V</t>
  </si>
  <si>
    <t>RES SMD 49.9 OHM 1% 1/10W 0603</t>
  </si>
  <si>
    <t>ERJ-3EKF49R9V Panasonic Electronic Components | Resistors | DigiKey</t>
  </si>
  <si>
    <t>505-AD8014ARZ-ND</t>
  </si>
  <si>
    <t>AD8014ARZ</t>
  </si>
  <si>
    <t>IC OPAMP CFA 1 CIRCUIT 8SOIC</t>
  </si>
  <si>
    <t>https://www.digikey.com/en/products/detail/analog-devices-inc/ad8014arz/620459</t>
  </si>
  <si>
    <t>8-SOIC</t>
  </si>
  <si>
    <t>490-1181-1-ND</t>
  </si>
  <si>
    <t>LQW18ANR27J00D</t>
  </si>
  <si>
    <t>FIXED IND 270NH 0603 (Murata LQW18, high-Q)</t>
  </si>
  <si>
    <t>https://www.digikey.com/en/products/detail/murata-electronics/LQW18ANR27J00D/584389</t>
  </si>
  <si>
    <t>Inductor</t>
  </si>
  <si>
    <t>270n</t>
  </si>
  <si>
    <t>Henry (H)</t>
  </si>
  <si>
    <t>490-1183-1-ND</t>
  </si>
  <si>
    <t>LQW18ANR39J00D</t>
  </si>
  <si>
    <t>FIXED IND 390NH 0603 (Murata LQW18, high-Q)</t>
  </si>
  <si>
    <t>https://www.digikey.com/en/products/detail/murata-electronics/LQW18ANR39J00D/584391</t>
  </si>
  <si>
    <t>390n</t>
  </si>
  <si>
    <t>490-1184-1-ND</t>
  </si>
  <si>
    <t>LQW18ANR47J00D</t>
  </si>
  <si>
    <t>FIXED IND 470NH 0603 (Murata LQW18, high-Q)</t>
  </si>
  <si>
    <t>https://www.digikey.com/en/products/detail/murata-electronics/LQW18ANR47J00D/584392</t>
  </si>
  <si>
    <t>470n</t>
  </si>
  <si>
    <t>535-11201-1-ND</t>
  </si>
  <si>
    <t>ASDMB-75.000MHZ-LY-T</t>
  </si>
  <si>
    <t>MEMS OSC XO 75.0000MHZ LVCMOS (AD9834 MCLK)</t>
  </si>
  <si>
    <t>https://www.digikey.com/en/products/detail/abracon-llc/ASDMB-75-000MHZ-LY-T/2624314</t>
  </si>
  <si>
    <t>Ocsillator</t>
  </si>
  <si>
    <t>75M</t>
  </si>
  <si>
    <t>Hertz (Hz)</t>
  </si>
  <si>
    <t>4-SMD</t>
  </si>
  <si>
    <t>296-50411-1-ND</t>
  </si>
  <si>
    <t>TLV75533PDBVR</t>
  </si>
  <si>
    <t>https://www.digikey.com/en/products/detail/texas-instruments/TLV75533PDBVR/9356541</t>
  </si>
  <si>
    <t>SOT-23-5</t>
  </si>
  <si>
    <t>F3733CT-ND</t>
  </si>
  <si>
    <t>1206L050/15YR</t>
  </si>
  <si>
    <t>PTC RESET FUSE 15V 500MA 1206 (input protection)</t>
  </si>
  <si>
    <t>https://www.digikey.com/en/products/detail/littelfuse-inc/1206L050-15YR/1211396</t>
  </si>
  <si>
    <t>FUSE</t>
  </si>
  <si>
    <t>1206</t>
  </si>
  <si>
    <t>4878-SMF5.0ACT-ND</t>
  </si>
  <si>
    <t>SMF5.0A</t>
  </si>
  <si>
    <t>TVS DIODE 5VWM 9.2VC SOD-123F (5V rail surge/ESD)</t>
  </si>
  <si>
    <t>https://www.digikey.com/en/products/detail/diotec-semiconductor/SMF5-0A/13163545</t>
  </si>
  <si>
    <t>Diode</t>
  </si>
  <si>
    <t>SOD-123F</t>
  </si>
  <si>
    <t>296-40695-1-ND</t>
  </si>
  <si>
    <t>TPD2E2U06QDBZRQ1</t>
  </si>
  <si>
    <t>TVS DIODE 5.5VWM 12.4VC SOT23-3</t>
  </si>
  <si>
    <t>https://www.digikey.com/en/products/detail/texas-instruments/TPD2E2U06QDBZRQ1/5056067</t>
  </si>
  <si>
    <t>Back-order</t>
  </si>
  <si>
    <t>1801-SS24CT-ND</t>
  </si>
  <si>
    <t>SS24</t>
  </si>
  <si>
    <t>DIODE SCHOTTKY 40V 2A DO214AA</t>
  </si>
  <si>
    <t>https://www.digikey.sg/en/products/detail/taiwan-semiconductor-corporation/SS24/7369395?s=N4IgTCBcDaIIwA4AMcC0BldYAsAVASqgHIAiIAugL5A</t>
  </si>
  <si>
    <t>490-5313-1-ND</t>
  </si>
  <si>
    <t>GRM32ER71E226KE15L</t>
  </si>
  <si>
    <t>CAP CER 22UF 25V X7R 1210</t>
  </si>
  <si>
    <t>https://www.digikey.sg/en/products/detail/murata-electronics/grm32er71e226ke15l/2039040</t>
  </si>
  <si>
    <t>1210</t>
  </si>
  <si>
    <t>490-10700-1-ND</t>
  </si>
  <si>
    <t>CAP CER 0.1UF 50V X7R 0402</t>
  </si>
  <si>
    <t>https://www.digikey.sg/en/products/detail/murata-electronics/grm155r71h104ke14d/4906220</t>
  </si>
  <si>
    <t>505-ADP5070AREZ-ND</t>
  </si>
  <si>
    <t>ADP5070AREZ</t>
  </si>
  <si>
    <t>IC REG BST SEPIC ADJ DL 20TSSOP</t>
  </si>
  <si>
    <t>https://www.digikey.sg/en/products/detail/analog-devices-inc/ADP5070AREZ/5408965?s=N4IgTCBcDaIKwAY4FoCCARACog7A1ASgKIBayAcuiALoC%2BQA</t>
  </si>
  <si>
    <t>DFLS240-7DICT-ND</t>
  </si>
  <si>
    <t>DFLS240-7</t>
  </si>
  <si>
    <t>DIODE SCHOTTK 40V 2A POWERDI 123</t>
  </si>
  <si>
    <t>https://www.digikey.sg/en/products/detail/diodes-incorporated/DFLS240-7/1934953</t>
  </si>
  <si>
    <t>1712-CPF0603B604KE1CT-ND</t>
  </si>
  <si>
    <t>CPF0603B604KE1</t>
  </si>
  <si>
    <t>RES 604 KOHM 0.1% 1/16W 0603</t>
  </si>
  <si>
    <t>https://www.digikey.sg/en/products/detail/te-connectivity-passive-product/CPF0603B604KE1/7493601?s=N4IgTCBcDaIIwHY5gLQGEAKAxADANhwGYAhAgFgGkBROAFQCUUA5AERAF0BfIA</t>
  </si>
  <si>
    <t>311-100KHRCT-ND</t>
  </si>
  <si>
    <t>RC0603FR-07100KL</t>
  </si>
  <si>
    <t>RES 100K OHM 1% 1/10W 0603</t>
  </si>
  <si>
    <t>https://www.digikey.sg/en/products/detail/vishay-dale/TNPW0603100KBEEN/1610202?s=N4IgTCBcDaIKwBYCMBaAzHAbAThWFAcgCIgC6AvkA</t>
  </si>
  <si>
    <t>100K</t>
  </si>
  <si>
    <t>311-649KHRCT-ND</t>
  </si>
  <si>
    <t>RC0603FR-07649KL</t>
  </si>
  <si>
    <t>RES 649K OHM 1% 1/10W 0603</t>
  </si>
  <si>
    <t>https://www.digikey.sg/en/products/detail/yageo/rc0603fr-07649kl/727346</t>
  </si>
  <si>
    <t>649K</t>
  </si>
  <si>
    <t>490-3886-1-ND</t>
  </si>
  <si>
    <t>GRM21BR61C106KE15L</t>
  </si>
  <si>
    <t>CAP CER 10UF 16V X5R 0805</t>
  </si>
  <si>
    <t>https://www.digikey.sg/en/products/detail/murata-electronics/GRM21BR61C106KE15L/965900</t>
  </si>
  <si>
    <t>311-12.0KHRCT-ND</t>
  </si>
  <si>
    <t>RC0603FR-0712KL</t>
  </si>
  <si>
    <t>RES 12K OHM 1% 1/10W 0603</t>
  </si>
  <si>
    <t>https://www.digikey.sg/en/products/detail/yageo/rc0603fr-0712kl/726913</t>
  </si>
  <si>
    <t>12K</t>
  </si>
  <si>
    <t>490-5854-1-ND</t>
  </si>
  <si>
    <t>GCJ188R71H473KA12D</t>
  </si>
  <si>
    <t>CAP CER 0.047UF 50V X7R 0603</t>
  </si>
  <si>
    <t>https://www.digikey.sg/en/products/detail/murata-electronics/GCJ188R71H473KA12D/2785873?s=N4IgTCBcDaICwE4AMBaArADjXFYUDkAREAXQF8g</t>
  </si>
  <si>
    <t>0.04u</t>
  </si>
  <si>
    <t>311-15.0KHRCT-ND</t>
  </si>
  <si>
    <t>RC0603FR-0715KL</t>
  </si>
  <si>
    <t>RES 15K OHM 1% 1/10W 0603</t>
  </si>
  <si>
    <t>https://www.digikey.sg/en/products/detail/yageo/RC0603FR-0715KL/726953?s=N4IgTCBcDaIMwEYEFoEFYB0AGA0gCQCUAVA5AOQBEQBdAXyA</t>
  </si>
  <si>
    <t>15K</t>
  </si>
  <si>
    <t>490-5799-1-ND</t>
  </si>
  <si>
    <t>GCJ188R71H683KA12D</t>
  </si>
  <si>
    <t>CAP CER 0.068UF 50V X7R 0603</t>
  </si>
  <si>
    <t>https://www.digikey.sg/en/products/detail/murata-electronics/gcj188r71h683ka12d/2783812</t>
  </si>
  <si>
    <t>0.68u</t>
  </si>
  <si>
    <t>490-1427-1-ND</t>
  </si>
  <si>
    <t>GRM1885C1H101JA01D</t>
  </si>
  <si>
    <t>CAP CER 100PF 50V C0G/NP0 0603</t>
  </si>
  <si>
    <t>https://www.digikey.sg/en/products/detail/murata-electronics/grm1885c1h101ja01d/586921</t>
  </si>
  <si>
    <t>100p</t>
  </si>
  <si>
    <t>505-ADP7142AUJZ-5.0-R7CT-ND</t>
  </si>
  <si>
    <t>ADP7142AUJZ-5.0-R7</t>
  </si>
  <si>
    <t>IC REG LINEAR 5V 200MA TSOT-23-5</t>
  </si>
  <si>
    <t>https://www.digikey.sg/en/products/detail/analog-devices-inc/adp7142aujz-5-0-r7/5056896</t>
  </si>
  <si>
    <t>505-ADP7182AUJZ-5.0-R7CT-ND</t>
  </si>
  <si>
    <t>ADP7182AUJZ-5.0-R7</t>
  </si>
  <si>
    <t>IC REG LINEAR -5V 200MA TSOT-23-5</t>
  </si>
  <si>
    <t>https://www.digikey.sg/en/products/detail/analog-devices-inc/adp7182aujz-5-0-r7/4901224</t>
  </si>
  <si>
    <t>296-TPS7A2033PDBVRCT-ND</t>
  </si>
  <si>
    <t>TPS7A2033PDBVR</t>
  </si>
  <si>
    <t>IC REG LINEAR 3.3V 300MA SOT23-5</t>
  </si>
  <si>
    <t>https://www.digikey.sg/en/products/detail/texas-instruments/tps7a2033pdbvr/13566866</t>
  </si>
  <si>
    <t>IC REG LINEAR 3.3V 500MA SOT23-5</t>
  </si>
  <si>
    <t>https://www.digikey.sg/en/products/detail/texas-instruments/tlv75533pdbvr/9356541</t>
  </si>
  <si>
    <t>490-5258-1-ND</t>
  </si>
  <si>
    <t>BLM18KG601SN1D</t>
  </si>
  <si>
    <t>FERRITE BEAD 600 OHM 0603 1LN</t>
  </si>
  <si>
    <t>https://www.digikey.sg/en/products/detail/murata-electronics/blm18kg601sn1d/1982766</t>
  </si>
  <si>
    <t>Ferrite bead</t>
  </si>
  <si>
    <t>490-1543-1-ND</t>
  </si>
  <si>
    <t>GRM188R61A105KA61D</t>
  </si>
  <si>
    <t>CAP CER 1UF 10V X5R 0603</t>
  </si>
  <si>
    <t>https://www.digikey.sg/en/products/detail/murata-electronics/GRM188R61A105KA61D/587071?s=N4IgTCBcDaICwE4AMBaAjAVjgZhWFAcgCIgC6AvkA</t>
  </si>
  <si>
    <t>1u</t>
  </si>
  <si>
    <t>541-2.61KHCT-ND</t>
  </si>
  <si>
    <t>CRCW06032K61FKEA</t>
  </si>
  <si>
    <t>RES SMD 2.61K OHM 1% 1/8W 0603</t>
  </si>
  <si>
    <t>https://www.digikey.com/en/products/detail/vishay-dale/CRCW06032K61FKEA/1174713</t>
  </si>
  <si>
    <t>2K61</t>
  </si>
  <si>
    <t>399-C0402C151K5RACTUCT-ND</t>
  </si>
  <si>
    <t>C0402C151K5RACTU</t>
  </si>
  <si>
    <t>CAP CER 150PF 50V X7R 0402</t>
  </si>
  <si>
    <t>https://www.digikey.com/en/products/detail/kemet/C0402C151K5RACTU/1933627</t>
  </si>
  <si>
    <t>1276-1070-1-ND</t>
  </si>
  <si>
    <t>CL10C330JB8NNNC</t>
  </si>
  <si>
    <t>CAP CER 33PF 50V C0G/NP0 0603</t>
  </si>
  <si>
    <t>https://www.digikey.com/en/products/detail/samsung-electro-mechanics/CL10C330JB8NNNC/3886728</t>
  </si>
  <si>
    <t>33p</t>
  </si>
  <si>
    <t>6.8K</t>
  </si>
  <si>
    <t>1.78K</t>
  </si>
  <si>
    <t>https://www.digikey.cn/en/products/detail/vishay-dale/tnpw06031k78beea/1606793</t>
  </si>
  <si>
    <t>2.67K</t>
  </si>
  <si>
    <t>10u</t>
  </si>
  <si>
    <t>738-RNCF0603TKY49R9CT-ND</t>
  </si>
  <si>
    <t>RNCF0603TKY49R9</t>
  </si>
  <si>
    <t>RES 49.9 OHM 0.01% 1/10W 0603</t>
  </si>
  <si>
    <t>Tolerance (%)</t>
  </si>
  <si>
    <t>0.1W</t>
  </si>
  <si>
    <t>Power (W)</t>
  </si>
  <si>
    <t>https://www.digikey.com/en/products/detail/stackpole-electronics-inc/RNCF0603TKY49R9/4072345</t>
  </si>
  <si>
    <t>RNCF0603TKY1K00CT-ND</t>
  </si>
  <si>
    <t>RNCF0603TKY1K00</t>
  </si>
  <si>
    <t>RES SMD 1K OHM 0.01% 1/10W 0603</t>
  </si>
  <si>
    <t>1K</t>
  </si>
  <si>
    <t>https://www.digikey.com/en/products/detail/stackpole-electronics-inc/RNCF0603TKY1K00/2269697</t>
  </si>
  <si>
    <t>738-RNCF0603TKY499RCT-ND</t>
  </si>
  <si>
    <t>RNCF0603TKY499R</t>
  </si>
  <si>
    <t>RES SMD 499 OHM 0.01% 1/10W 0603</t>
  </si>
  <si>
    <t>https://www.digikey.com/en/products/detail/stackpole-electronics-inc/RNCF0603TKY499R/4072346</t>
  </si>
  <si>
    <t>RG20N51WCT-ND</t>
  </si>
  <si>
    <t>RG2012N-510-W-T1</t>
  </si>
  <si>
    <t>RES SMD 51 OHM 0.05% 1/8W 0805</t>
  </si>
  <si>
    <t>https://www.digikey.com/en/products/detail/susumu/RG2012N-510-W-T1/600657</t>
  </si>
  <si>
    <t>0.125W</t>
  </si>
  <si>
    <t>408-1644-1-ND</t>
  </si>
  <si>
    <t>RG2012L-682-L-T05</t>
  </si>
  <si>
    <t>RES SMD 6.8KOHM 0.01% 1/10W 0805</t>
  </si>
  <si>
    <t>https://www.digikey.com/en/products/detail/susumu/RG2012L-682-L-T05/3738066</t>
  </si>
  <si>
    <t>0.01u</t>
  </si>
  <si>
    <t>399-C0603C103F3GECAUTOCT-ND</t>
  </si>
  <si>
    <t>C0603C103F3GECAUTO</t>
  </si>
  <si>
    <t>CAP CER 10000PF 25V C0G/NP0 0603</t>
  </si>
  <si>
    <t>https://www.digikey.com/en/products/detail/kemet/C0603C103F3GECAUTO/6826352</t>
  </si>
  <si>
    <t>150p</t>
  </si>
  <si>
    <t>1276-1033-1-ND</t>
  </si>
  <si>
    <t>CL10B104JB8NNNC</t>
  </si>
  <si>
    <t>https://www.digikey.com/en/products/detail/samsung-electro-mechanics/CL10B104JB8NNNC/3886691</t>
  </si>
  <si>
    <t>2.2u</t>
  </si>
  <si>
    <t>22u</t>
  </si>
  <si>
    <t>1p</t>
  </si>
  <si>
    <t>P100KBECT-ND</t>
  </si>
  <si>
    <t>ERA-3ARW104V</t>
  </si>
  <si>
    <t>RES SMD 100KOHM 0.05% 1/10W 0603</t>
  </si>
  <si>
    <t>https://www.digikey.com/en/products/detail/panasonic-industry/ERA-3ARW104V/3073685</t>
  </si>
  <si>
    <t>408-RG1608N-103-W-T5CT-ND</t>
  </si>
  <si>
    <t>RG1608N-103-W-T5</t>
  </si>
  <si>
    <t>RES SMD 10K OHM 0.05% 1/10W 0603</t>
  </si>
  <si>
    <t>https://www.digikey.com/en/products/detail/susumu/RG1608N-103-W-T5/1257543</t>
  </si>
  <si>
    <t>RG16N47WCT-ND</t>
  </si>
  <si>
    <t>RG1608N-470-W-T1</t>
  </si>
  <si>
    <t>RES SMD 47 OHM 0.05% 1/10W 0603</t>
  </si>
  <si>
    <t>https://www.digikey.com/en/products/detail/susumu/RG1608N-470-W-T1/600565</t>
  </si>
  <si>
    <t>RNCF0603AKT10R0CT-ND</t>
  </si>
  <si>
    <t>RNCF0603AKT10R0</t>
  </si>
  <si>
    <t>RES SMD 10 OHM 0.05% 1/10W 0603</t>
  </si>
  <si>
    <t>https://www.digikey.com/en/products/detail/stackpole-electronics-inc/RNCF0603AKT10R0/4928378</t>
  </si>
  <si>
    <t>--- Bill of Materials ---</t>
  </si>
  <si>
    <t>Ref.</t>
  </si>
  <si>
    <t>Mfg.</t>
  </si>
  <si>
    <t>Part No.</t>
  </si>
  <si>
    <t>C1</t>
  </si>
  <si>
    <t>--</t>
  </si>
  <si>
    <t>capacitor, 180pF</t>
  </si>
  <si>
    <t>C2</t>
  </si>
  <si>
    <t>capacitor, 300pF</t>
  </si>
  <si>
    <t>C3</t>
  </si>
  <si>
    <t>capacitor, 330pF</t>
  </si>
  <si>
    <t>C4</t>
  </si>
  <si>
    <t>capacitor, 270pF</t>
  </si>
  <si>
    <t>C5</t>
  </si>
  <si>
    <t>capacitor, 150pF</t>
  </si>
  <si>
    <t>C6</t>
  </si>
  <si>
    <t>capacitor, 15pF</t>
  </si>
  <si>
    <t>C7</t>
  </si>
  <si>
    <t>capacitor, 100pF</t>
  </si>
  <si>
    <t>C8</t>
  </si>
  <si>
    <t>capacitor, 33pF</t>
  </si>
  <si>
    <t>C9</t>
  </si>
  <si>
    <t>Vishay</t>
  </si>
  <si>
    <t>T51D106M025</t>
  </si>
  <si>
    <t>capacitor, 100nF, 25V</t>
  </si>
  <si>
    <t>C10</t>
  </si>
  <si>
    <t>capacitor, 10µF, 25V</t>
  </si>
  <si>
    <t>C11</t>
  </si>
  <si>
    <t>C12</t>
  </si>
  <si>
    <t>C13</t>
  </si>
  <si>
    <t>C14</t>
  </si>
  <si>
    <t>C15</t>
  </si>
  <si>
    <t>C16</t>
  </si>
  <si>
    <t>C17</t>
  </si>
  <si>
    <t>C18</t>
  </si>
  <si>
    <t>C19</t>
  </si>
  <si>
    <t>C20</t>
  </si>
  <si>
    <t>C21</t>
  </si>
  <si>
    <t>C22</t>
  </si>
  <si>
    <t>C23</t>
  </si>
  <si>
    <t>C24</t>
  </si>
  <si>
    <t>C25</t>
  </si>
  <si>
    <t>C26</t>
  </si>
  <si>
    <t>C27</t>
  </si>
  <si>
    <t>C28</t>
  </si>
  <si>
    <t>C29</t>
  </si>
  <si>
    <t>capacitor, 1pF</t>
  </si>
  <si>
    <t>C30</t>
  </si>
  <si>
    <t>C31</t>
  </si>
  <si>
    <t>C32</t>
  </si>
  <si>
    <t>C33</t>
  </si>
  <si>
    <t>C34</t>
  </si>
  <si>
    <t>C_coupling</t>
  </si>
  <si>
    <t>capacitor, 47nF, 25V</t>
  </si>
  <si>
    <t>L1</t>
  </si>
  <si>
    <t>inductor, 470nH</t>
  </si>
  <si>
    <t>L2</t>
  </si>
  <si>
    <t>inductor, 270nH</t>
  </si>
  <si>
    <t>L3</t>
  </si>
  <si>
    <t>inductor, 390nH</t>
  </si>
  <si>
    <t>R1</t>
  </si>
  <si>
    <t>resistor, 49.9</t>
  </si>
  <si>
    <t>R2</t>
  </si>
  <si>
    <t>R3</t>
  </si>
  <si>
    <t>resistor, 22</t>
  </si>
  <si>
    <t>R4</t>
  </si>
  <si>
    <t>resistor, 51</t>
  </si>
  <si>
    <t>R5</t>
  </si>
  <si>
    <t>R7</t>
  </si>
  <si>
    <t>resistor, 0</t>
  </si>
  <si>
    <t>R8</t>
  </si>
  <si>
    <t>resistor, 3.1K</t>
  </si>
  <si>
    <t>R9</t>
  </si>
  <si>
    <t>R10</t>
  </si>
  <si>
    <t>R_Curr_Sense</t>
  </si>
  <si>
    <t>resistor, 100</t>
  </si>
  <si>
    <t>R_isolation</t>
  </si>
  <si>
    <t>resistor, 47</t>
  </si>
  <si>
    <t>R_sense</t>
  </si>
  <si>
    <t>resistor, 10K</t>
  </si>
  <si>
    <t>RF_AD8014</t>
  </si>
  <si>
    <t>resistor, 499</t>
  </si>
  <si>
    <t>RF_AD9833</t>
  </si>
  <si>
    <t>resistor, 1K</t>
  </si>
  <si>
    <t>RG_AD8014</t>
  </si>
  <si>
    <t>RG_AD8133</t>
  </si>
  <si>
    <t>Rsource</t>
  </si>
  <si>
    <t>U1</t>
  </si>
  <si>
    <t>Analog Devices</t>
  </si>
  <si>
    <t>AD8130</t>
  </si>
  <si>
    <t>integrated circuit</t>
  </si>
  <si>
    <t>U2</t>
  </si>
  <si>
    <t>U3</t>
  </si>
  <si>
    <t>AD8014</t>
  </si>
  <si>
    <t>U4</t>
  </si>
  <si>
    <t>AD8065</t>
  </si>
  <si>
    <t>U5</t>
  </si>
  <si>
    <t>AD9834</t>
  </si>
  <si>
    <t>U6</t>
  </si>
  <si>
    <t>U7</t>
  </si>
  <si>
    <t>AD8066</t>
  </si>
  <si>
    <t>U8</t>
  </si>
  <si>
    <t>490-16342-1-ND</t>
  </si>
  <si>
    <t>GRM1885C1H1R0WA01D</t>
  </si>
  <si>
    <t>CAP CER 1PF 50V C0G/NP0 0603</t>
  </si>
  <si>
    <t>https://www.digikey.com/en/products/detail/murata-electronics/GRM1885C1H1R0WA01D/7363086</t>
  </si>
  <si>
    <t>505-AD8066ARZ-R7CT-ND</t>
  </si>
  <si>
    <t>AD8066ARZ-R7</t>
  </si>
  <si>
    <t>IC VOLTAGE FEEDBACK 2 CIRC 8SOIC</t>
  </si>
  <si>
    <t>https://www.digikey.com/en/products/detail/analog-devices-inc/AD8066ARZ-R7/654014</t>
  </si>
  <si>
    <t>505-ADP2303ARDZ-5.0-R7CT-ND</t>
  </si>
  <si>
    <t>ADP2303ARDZ-5.0-R7</t>
  </si>
  <si>
    <t>IC REG BUCK 5V 3A 8SOIC</t>
  </si>
  <si>
    <t>https://www.digikey.com/en/products/detail/analog-devices-inc/ADP2303ARDZ-5-0-R7/2606549</t>
  </si>
  <si>
    <t>505-ADP7118AUJZ-3.3-R7CT-ND</t>
  </si>
  <si>
    <t>ADP7118AUJZ-3.3-R7</t>
  </si>
  <si>
    <t>IC REG LIN 3.3V 200MA TSOT-23-5</t>
  </si>
  <si>
    <t>https://www.digikey.com/en/products/detail/analog-devices-inc/ADP7118AUJZ-3-3-R7/5056890</t>
  </si>
  <si>
    <t>IC REG LINEAR 3.3V 500MA</t>
  </si>
  <si>
    <t>https://www.digikey.com/en/products/detail/kemet/c0402c102k5ractu/411034</t>
  </si>
  <si>
    <t>1000p (1n)</t>
  </si>
  <si>
    <t>10000p (10n)</t>
  </si>
  <si>
    <t>478-KGM15ACG1H102FTCT-ND</t>
  </si>
  <si>
    <t>KGM15ACG1H102FT</t>
  </si>
  <si>
    <t>CAP CER 1000PF 50V C0G/NP0 0603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</si>
</sst>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_);[Red]\(&quot;$&quot;#,##0.0000\)"/>
    <numFmt numFmtId="165" formatCode="[$VND]\ #,##0_);[Red]\([$VND]\ #,##0\)"/>
    <numFmt numFmtId="166" formatCode="[$¥-804]#,##0;[Red][$¥-804]\-#,##0"/>
  </numFmts>
  <fonts count="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1"/>
      <color rgb="FF000000"/>
      <name val="Aptos Narrow"/>
      <family val="2"/>
      <scheme val="minor"/>
    </font>
    <font>
      <u/>
      <sz val="11"/>
      <color rgb="FF000000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8" tint="0.79998168889431442"/>
        <bgColor indexed="65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1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</borders>
  <cellStyleXfs count="3">
    <xf numFmtId="0" fontId="0" fillId="0" borderId="0"/>
    <xf numFmtId="0" fontId="1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82">
    <xf numFmtId="0" fontId="0" fillId="0" borderId="0" xfId="0"/>
    <xf numFmtId="0" fontId="2" fillId="3" borderId="1" xfId="0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0" fillId="0" borderId="2" xfId="0" applyBorder="1"/>
    <xf numFmtId="164" fontId="0" fillId="0" borderId="2" xfId="0" applyNumberFormat="1" applyBorder="1"/>
    <xf numFmtId="165" fontId="0" fillId="0" borderId="2" xfId="0" applyNumberFormat="1" applyBorder="1"/>
    <xf numFmtId="0" fontId="3" fillId="0" borderId="2" xfId="2" applyBorder="1"/>
    <xf numFmtId="0" fontId="0" fillId="0" borderId="3" xfId="0" applyBorder="1" applyAlignment="1">
      <alignment horizontal="right"/>
    </xf>
    <xf numFmtId="0" fontId="0" fillId="0" borderId="3" xfId="0" applyBorder="1"/>
    <xf numFmtId="0" fontId="1" fillId="2" borderId="4" xfId="1" applyBorder="1" applyAlignment="1">
      <alignment horizontal="center" vertical="center"/>
    </xf>
    <xf numFmtId="164" fontId="0" fillId="4" borderId="2" xfId="0" applyNumberFormat="1" applyFill="1" applyBorder="1"/>
    <xf numFmtId="165" fontId="0" fillId="4" borderId="2" xfId="0" applyNumberFormat="1" applyFill="1" applyBorder="1"/>
    <xf numFmtId="0" fontId="3" fillId="4" borderId="2" xfId="2" applyFill="1" applyBorder="1"/>
    <xf numFmtId="0" fontId="0" fillId="4" borderId="2" xfId="0" applyFill="1" applyBorder="1"/>
    <xf numFmtId="0" fontId="6" fillId="4" borderId="4" xfId="0" applyFont="1" applyFill="1" applyBorder="1"/>
    <xf numFmtId="0" fontId="0" fillId="4" borderId="4" xfId="0" applyFill="1" applyBorder="1"/>
    <xf numFmtId="164" fontId="6" fillId="4" borderId="4" xfId="0" applyNumberFormat="1" applyFont="1" applyFill="1" applyBorder="1"/>
    <xf numFmtId="0" fontId="3" fillId="4" borderId="4" xfId="2" applyFill="1" applyBorder="1"/>
    <xf numFmtId="0" fontId="0" fillId="4" borderId="7" xfId="0" applyFill="1" applyBorder="1" applyAlignment="1">
      <alignment horizontal="right"/>
    </xf>
    <xf numFmtId="0" fontId="6" fillId="4" borderId="2" xfId="0" applyFont="1" applyFill="1" applyBorder="1"/>
    <xf numFmtId="164" fontId="6" fillId="4" borderId="2" xfId="0" applyNumberFormat="1" applyFont="1" applyFill="1" applyBorder="1"/>
    <xf numFmtId="165" fontId="6" fillId="4" borderId="2" xfId="0" applyNumberFormat="1" applyFont="1" applyFill="1" applyBorder="1"/>
    <xf numFmtId="0" fontId="7" fillId="4" borderId="2" xfId="2" applyFont="1" applyFill="1" applyBorder="1"/>
    <xf numFmtId="0" fontId="6" fillId="4" borderId="3" xfId="0" applyFont="1" applyFill="1" applyBorder="1" applyAlignment="1">
      <alignment horizontal="right"/>
    </xf>
    <xf numFmtId="0" fontId="6" fillId="4" borderId="3" xfId="0" applyFont="1" applyFill="1" applyBorder="1"/>
    <xf numFmtId="0" fontId="6" fillId="4" borderId="5" xfId="0" applyFont="1" applyFill="1" applyBorder="1"/>
    <xf numFmtId="164" fontId="6" fillId="4" borderId="5" xfId="0" applyNumberFormat="1" applyFont="1" applyFill="1" applyBorder="1"/>
    <xf numFmtId="0" fontId="0" fillId="4" borderId="1" xfId="0" applyFill="1" applyBorder="1"/>
    <xf numFmtId="164" fontId="6" fillId="4" borderId="1" xfId="0" applyNumberFormat="1" applyFont="1" applyFill="1" applyBorder="1"/>
    <xf numFmtId="0" fontId="3" fillId="4" borderId="0" xfId="2" applyFill="1"/>
    <xf numFmtId="0" fontId="0" fillId="0" borderId="4" xfId="0" applyBorder="1"/>
    <xf numFmtId="164" fontId="0" fillId="0" borderId="4" xfId="0" applyNumberFormat="1" applyBorder="1"/>
    <xf numFmtId="0" fontId="0" fillId="0" borderId="1" xfId="0" applyBorder="1"/>
    <xf numFmtId="165" fontId="0" fillId="0" borderId="1" xfId="0" applyNumberFormat="1" applyBorder="1"/>
    <xf numFmtId="166" fontId="0" fillId="0" borderId="4" xfId="0" applyNumberFormat="1" applyBorder="1"/>
    <xf numFmtId="0" fontId="0" fillId="0" borderId="3" xfId="0" quotePrefix="1" applyBorder="1"/>
    <xf numFmtId="0" fontId="0" fillId="5" borderId="3" xfId="0" quotePrefix="1" applyFill="1" applyBorder="1"/>
    <xf numFmtId="0" fontId="6" fillId="5" borderId="3" xfId="0" quotePrefix="1" applyFont="1" applyFill="1" applyBorder="1"/>
    <xf numFmtId="0" fontId="3" fillId="4" borderId="5" xfId="2" applyFill="1" applyBorder="1"/>
    <xf numFmtId="0" fontId="2" fillId="6" borderId="2" xfId="0" applyFont="1" applyFill="1" applyBorder="1"/>
    <xf numFmtId="0" fontId="3" fillId="0" borderId="0" xfId="2"/>
    <xf numFmtId="0" fontId="0" fillId="4" borderId="8" xfId="0" applyFill="1" applyBorder="1" applyAlignment="1">
      <alignment horizontal="right"/>
    </xf>
    <xf numFmtId="165" fontId="6" fillId="4" borderId="3" xfId="0" applyNumberFormat="1" applyFont="1" applyFill="1" applyBorder="1"/>
    <xf numFmtId="165" fontId="6" fillId="4" borderId="6" xfId="0" applyNumberFormat="1" applyFont="1" applyFill="1" applyBorder="1"/>
    <xf numFmtId="165" fontId="6" fillId="4" borderId="7" xfId="0" applyNumberFormat="1" applyFont="1" applyFill="1" applyBorder="1"/>
    <xf numFmtId="165" fontId="6" fillId="4" borderId="8" xfId="0" applyNumberFormat="1" applyFont="1" applyFill="1" applyBorder="1"/>
    <xf numFmtId="0" fontId="6" fillId="4" borderId="9" xfId="0" applyFont="1" applyFill="1" applyBorder="1"/>
    <xf numFmtId="0" fontId="0" fillId="4" borderId="10" xfId="0" applyFill="1" applyBorder="1"/>
    <xf numFmtId="0" fontId="0" fillId="4" borderId="9" xfId="0" applyFill="1" applyBorder="1"/>
    <xf numFmtId="0" fontId="0" fillId="4" borderId="11" xfId="0" applyFill="1" applyBorder="1" applyAlignment="1">
      <alignment horizontal="right"/>
    </xf>
    <xf numFmtId="0" fontId="6" fillId="4" borderId="2" xfId="0" applyFont="1" applyFill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2" xfId="0" applyFill="1" applyBorder="1" applyAlignment="1">
      <alignment horizontal="left"/>
    </xf>
    <xf numFmtId="0" fontId="0" fillId="5" borderId="2" xfId="0" quotePrefix="1" applyFill="1" applyBorder="1"/>
    <xf numFmtId="0" fontId="0" fillId="0" borderId="2" xfId="0" quotePrefix="1" applyBorder="1"/>
    <xf numFmtId="0" fontId="4" fillId="3" borderId="8" xfId="0" applyFont="1" applyFill="1" applyBorder="1" applyAlignment="1">
      <alignment horizontal="center" vertical="center" wrapText="1"/>
    </xf>
    <xf numFmtId="0" fontId="0" fillId="4" borderId="3" xfId="0" applyFill="1" applyBorder="1"/>
    <xf numFmtId="0" fontId="4" fillId="3" borderId="12" xfId="0" applyFont="1" applyFill="1" applyBorder="1" applyAlignment="1">
      <alignment horizontal="center" vertical="center" wrapText="1"/>
    </xf>
    <xf numFmtId="0" fontId="0" fillId="0" borderId="9" xfId="0" applyBorder="1"/>
    <xf numFmtId="0" fontId="4" fillId="3" borderId="2" xfId="0" applyFont="1" applyFill="1" applyBorder="1" applyAlignment="1">
      <alignment horizontal="center" vertical="center" wrapText="1"/>
    </xf>
    <xf numFmtId="0" fontId="0" fillId="4" borderId="2" xfId="0" quotePrefix="1" applyFill="1" applyBorder="1"/>
    <xf numFmtId="0" fontId="6" fillId="4" borderId="2" xfId="0" quotePrefix="1" applyFont="1" applyFill="1" applyBorder="1"/>
    <xf numFmtId="0" fontId="6" fillId="4" borderId="7" xfId="0" applyFont="1" applyFill="1" applyBorder="1"/>
    <xf numFmtId="0" fontId="0" fillId="4" borderId="13" xfId="0" applyFill="1" applyBorder="1"/>
    <xf numFmtId="0" fontId="0" fillId="4" borderId="14" xfId="0" applyFill="1" applyBorder="1"/>
    <xf numFmtId="0" fontId="0" fillId="4" borderId="5" xfId="0" applyFill="1" applyBorder="1"/>
    <xf numFmtId="10" fontId="0" fillId="4" borderId="14" xfId="0" applyNumberFormat="1" applyFill="1" applyBorder="1" applyAlignment="1">
      <alignment horizontal="left"/>
    </xf>
    <xf numFmtId="0" fontId="0" fillId="4" borderId="12" xfId="0" applyFill="1" applyBorder="1"/>
    <xf numFmtId="10" fontId="0" fillId="4" borderId="2" xfId="0" applyNumberFormat="1" applyFill="1" applyBorder="1" applyAlignment="1">
      <alignment horizontal="left"/>
    </xf>
    <xf numFmtId="9" fontId="0" fillId="4" borderId="2" xfId="0" applyNumberFormat="1" applyFill="1" applyBorder="1" applyAlignment="1">
      <alignment horizontal="left"/>
    </xf>
    <xf numFmtId="0" fontId="3" fillId="4" borderId="1" xfId="2" applyFill="1" applyBorder="1"/>
    <xf numFmtId="164" fontId="0" fillId="4" borderId="5" xfId="0" applyNumberFormat="1" applyFill="1" applyBorder="1"/>
    <xf numFmtId="0" fontId="0" fillId="4" borderId="5" xfId="0" applyFill="1" applyBorder="1" applyAlignment="1">
      <alignment horizontal="right"/>
    </xf>
    <xf numFmtId="9" fontId="0" fillId="4" borderId="5" xfId="0" applyNumberFormat="1" applyFill="1" applyBorder="1" applyAlignment="1">
      <alignment horizontal="left"/>
    </xf>
    <xf numFmtId="0" fontId="0" fillId="0" borderId="6" xfId="0" quotePrefix="1" applyBorder="1"/>
    <xf numFmtId="0" fontId="0" fillId="0" borderId="5" xfId="0" applyBorder="1"/>
    <xf numFmtId="0" fontId="1" fillId="2" borderId="1" xfId="1" applyBorder="1" applyAlignment="1">
      <alignment horizontal="center" vertical="center"/>
    </xf>
    <xf numFmtId="0" fontId="1" fillId="2" borderId="2" xfId="1" applyBorder="1" applyAlignment="1">
      <alignment horizontal="center" vertical="center"/>
    </xf>
    <xf numFmtId="0" fontId="0" fillId="0" borderId="2" xfId="0" applyBorder="1" applyAlignment="1">
      <alignment horizontal="right"/>
    </xf>
    <xf numFmtId="0" fontId="1" fillId="2" borderId="13" xfId="1" applyBorder="1" applyAlignment="1">
      <alignment horizontal="center" vertical="center"/>
    </xf>
    <xf numFmtId="0" fontId="0" fillId="2" borderId="2" xfId="1" applyFont="1" applyBorder="1" applyAlignment="1">
      <alignment horizontal="center" vertical="center"/>
    </xf>
  </cellXfs>
  <cellStyles count="3">
    <cellStyle name="20% - Accent5" xfId="1" builtinId="46"/>
    <cellStyle name="Hyperlink" xfId="2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digikey.com/en/products/detail/murata-electronics/grm1885c1h271ja01j/2611130" TargetMode="External"/><Relationship Id="rId21" Type="http://schemas.openxmlformats.org/officeDocument/2006/relationships/hyperlink" Target="https://www.digikey.com/en/products/detail/murata-electronics/grm1555c1h1r0wa01j/4904825" TargetMode="External"/><Relationship Id="rId42" Type="http://schemas.openxmlformats.org/officeDocument/2006/relationships/hyperlink" Target="https://www.digikey.sg/en/products/detail/murata-electronics/grm155r71h104ke14d/4906220" TargetMode="External"/><Relationship Id="rId47" Type="http://schemas.openxmlformats.org/officeDocument/2006/relationships/hyperlink" Target="https://www.digikey.sg/en/products/detail/yageo/rc0603fr-07649kl/727346" TargetMode="External"/><Relationship Id="rId63" Type="http://schemas.openxmlformats.org/officeDocument/2006/relationships/hyperlink" Target="https://www.digikey.com/en/products/detail/stackpole-electronics-inc/RNCF0603TKY49R9/4072345" TargetMode="External"/><Relationship Id="rId68" Type="http://schemas.openxmlformats.org/officeDocument/2006/relationships/hyperlink" Target="https://www.digikey.com/en/products/detail/kemet/C0603C103F3GECAUTO/6826352" TargetMode="External"/><Relationship Id="rId16" Type="http://schemas.openxmlformats.org/officeDocument/2006/relationships/hyperlink" Target="https://www.digikey.com/en/products/detail/yageo/rc0603fr-0710kl/726880" TargetMode="External"/><Relationship Id="rId11" Type="http://schemas.openxmlformats.org/officeDocument/2006/relationships/hyperlink" Target="https://www.digikey.com/en/products/detail/vishay-dale/tnpw0603499rbeea/1606732" TargetMode="External"/><Relationship Id="rId24" Type="http://schemas.openxmlformats.org/officeDocument/2006/relationships/hyperlink" Target="https://www.digikey.com/en/products/detail/murata-electronics/grm1885c1h301ja01d/586964" TargetMode="External"/><Relationship Id="rId32" Type="http://schemas.openxmlformats.org/officeDocument/2006/relationships/hyperlink" Target="https://www.digikey.com/en/products/detail/murata-electronics/LQW18ANR27J00D/584389" TargetMode="External"/><Relationship Id="rId37" Type="http://schemas.openxmlformats.org/officeDocument/2006/relationships/hyperlink" Target="https://www.digikey.com/en/products/detail/littelfuse-inc/1206L050-15YR/1211396" TargetMode="External"/><Relationship Id="rId40" Type="http://schemas.openxmlformats.org/officeDocument/2006/relationships/hyperlink" Target="https://www.digikey.sg/en/products/detail/taiwan-semiconductor-corporation/SS24/7369395?s=N4IgTCBcDaIIwA4AMcC0BldYAsAVASqgHIAiIAugL5A" TargetMode="External"/><Relationship Id="rId45" Type="http://schemas.openxmlformats.org/officeDocument/2006/relationships/hyperlink" Target="https://www.digikey.sg/en/products/detail/te-connectivity-passive-product/CPF0603B604KE1/7493601?s=N4IgTCBcDaIIwHY5gLQGEAKAxADANhwGYAhAgFgGkBROAFQCUUA5AERAF0BfIA" TargetMode="External"/><Relationship Id="rId53" Type="http://schemas.openxmlformats.org/officeDocument/2006/relationships/hyperlink" Target="https://www.digikey.sg/en/products/detail/analog-devices-inc/adp7142aujz-5-0-r7/5056896" TargetMode="External"/><Relationship Id="rId58" Type="http://schemas.openxmlformats.org/officeDocument/2006/relationships/hyperlink" Target="https://www.digikey.sg/en/products/detail/murata-electronics/blm18kg601sn1d/1982766" TargetMode="External"/><Relationship Id="rId66" Type="http://schemas.openxmlformats.org/officeDocument/2006/relationships/hyperlink" Target="https://www.digikey.com/en/products/detail/susumu/RG2012N-510-W-T1/600657" TargetMode="External"/><Relationship Id="rId74" Type="http://schemas.openxmlformats.org/officeDocument/2006/relationships/hyperlink" Target="https://www.digikey.com/en/products/detail/murata-electronics/GRM1885C1H1R0WA01D/7363086" TargetMode="External"/><Relationship Id="rId79" Type="http://schemas.openxmlformats.org/officeDocument/2006/relationships/printerSettings" Target="../printerSettings/printerSettings1.bin"/><Relationship Id="rId5" Type="http://schemas.openxmlformats.org/officeDocument/2006/relationships/hyperlink" Target="https://www.digikey.com/en/products/detail/vishay-dale/TNPW06036K80BEEA/1606862?s=N4IgTCBcDaICoDkAKB1ADANjQZgwaQA40AhAUVIEEQBdAXyA" TargetMode="External"/><Relationship Id="rId61" Type="http://schemas.openxmlformats.org/officeDocument/2006/relationships/hyperlink" Target="https://www.digikey.com/en/products/detail/kemet/C0402C151K5RACTU/1933627" TargetMode="External"/><Relationship Id="rId19" Type="http://schemas.openxmlformats.org/officeDocument/2006/relationships/hyperlink" Target="https://www.digikey.com/en/products/detail/kemet/C0603C104K5RACTU/1465594" TargetMode="External"/><Relationship Id="rId14" Type="http://schemas.openxmlformats.org/officeDocument/2006/relationships/hyperlink" Target="https://www.digikey.com/en/products/detail/yageo-america/rc0603fr-072k67l/22283163" TargetMode="External"/><Relationship Id="rId22" Type="http://schemas.openxmlformats.org/officeDocument/2006/relationships/hyperlink" Target="https://www.digikey.com/en/products/detail/yageo/CC0805KKX5R9BB225/5195775" TargetMode="External"/><Relationship Id="rId27" Type="http://schemas.openxmlformats.org/officeDocument/2006/relationships/hyperlink" Target="https://www.digikey.com/en/products/detail/murata-electronics/GRM1885C1H470JA01D/586904" TargetMode="External"/><Relationship Id="rId30" Type="http://schemas.openxmlformats.org/officeDocument/2006/relationships/hyperlink" Target="https://www.digikey.com/en/products/detail/panasonic-electronic-components/ERJ-3EKF49R9V/196378" TargetMode="External"/><Relationship Id="rId35" Type="http://schemas.openxmlformats.org/officeDocument/2006/relationships/hyperlink" Target="https://www.digikey.com/en/products/detail/abracon-llc/ASDMB-75-000MHZ-LY-T/2624314" TargetMode="External"/><Relationship Id="rId43" Type="http://schemas.openxmlformats.org/officeDocument/2006/relationships/hyperlink" Target="https://www.digikey.sg/en/products/detail/analog-devices-inc/ADP5070AREZ/5408965?s=N4IgTCBcDaIKwAY4FoCCARACog7A1ASgKIBayAcuiALoC%2BQA" TargetMode="External"/><Relationship Id="rId48" Type="http://schemas.openxmlformats.org/officeDocument/2006/relationships/hyperlink" Target="https://www.digikey.sg/en/products/detail/murata-electronics/GRM21BR61C106KE15L/965900" TargetMode="External"/><Relationship Id="rId56" Type="http://schemas.openxmlformats.org/officeDocument/2006/relationships/hyperlink" Target="https://www.digikey.sg/en/products/detail/texas-instruments/tps7a2033pdbvr/13566866" TargetMode="External"/><Relationship Id="rId64" Type="http://schemas.openxmlformats.org/officeDocument/2006/relationships/hyperlink" Target="https://www.digikey.com/en/products/detail/stackpole-electronics-inc/RNCF0603TKY1K00/2269697" TargetMode="External"/><Relationship Id="rId69" Type="http://schemas.openxmlformats.org/officeDocument/2006/relationships/hyperlink" Target="https://www.digikey.com/en/products/detail/samsung-electro-mechanics/CL10B104JB8NNNC/3886691" TargetMode="External"/><Relationship Id="rId77" Type="http://schemas.openxmlformats.org/officeDocument/2006/relationships/hyperlink" Target="https://www.digikey.com/en/products/detail/analog-devices-inc/ADP7118AUJZ-3-3-R7/5056890" TargetMode="External"/><Relationship Id="rId8" Type="http://schemas.openxmlformats.org/officeDocument/2006/relationships/hyperlink" Target="https://www.digikey.com/en/products/detail/yageo/RC0603FR-0722RL/727055?s=N4IgTCBcDaIEoGEAMA2JBmAYnAtEg7GGHADIgC6AvkA" TargetMode="External"/><Relationship Id="rId51" Type="http://schemas.openxmlformats.org/officeDocument/2006/relationships/hyperlink" Target="https://www.digikey.sg/en/products/detail/yageo/RC0603FR-0715KL/726953?s=N4IgTCBcDaIMwEYEFoEFYB0AGA0gCQCUAVA5AOQBEQBdAXyA" TargetMode="External"/><Relationship Id="rId72" Type="http://schemas.openxmlformats.org/officeDocument/2006/relationships/hyperlink" Target="https://www.digikey.com/en/products/detail/susumu/RG1608N-470-W-T1/600565" TargetMode="External"/><Relationship Id="rId3" Type="http://schemas.openxmlformats.org/officeDocument/2006/relationships/hyperlink" Target="https://www.digikey.com/en/products/detail/stmicroelectronics/STM32F411RET6/4935722" TargetMode="External"/><Relationship Id="rId12" Type="http://schemas.openxmlformats.org/officeDocument/2006/relationships/hyperlink" Target="https://www.digikey.cn/en/products/detail/vishay-dale/tnpw06031k78beea/1606793" TargetMode="External"/><Relationship Id="rId17" Type="http://schemas.openxmlformats.org/officeDocument/2006/relationships/hyperlink" Target="https://www.digikey.com/en/products/detail/vishay-dale/tnpw060310r0beea/1606539" TargetMode="External"/><Relationship Id="rId25" Type="http://schemas.openxmlformats.org/officeDocument/2006/relationships/hyperlink" Target="https://www.digikey.com/en/products/detail/murata-electronics/grm1885c1h331ja01j/2611160" TargetMode="External"/><Relationship Id="rId33" Type="http://schemas.openxmlformats.org/officeDocument/2006/relationships/hyperlink" Target="https://www.digikey.com/en/products/detail/murata-electronics/LQW18ANR39J00D/584391" TargetMode="External"/><Relationship Id="rId38" Type="http://schemas.openxmlformats.org/officeDocument/2006/relationships/hyperlink" Target="https://www.digikey.com/en/products/detail/diotec-semiconductor/SMF5-0A/13163545" TargetMode="External"/><Relationship Id="rId46" Type="http://schemas.openxmlformats.org/officeDocument/2006/relationships/hyperlink" Target="https://www.digikey.sg/en/products/detail/vishay-dale/TNPW0603100KBEEN/1610202?s=N4IgTCBcDaIKwBYCMBaAzHAbAThWFAcgCIgC6AvkA" TargetMode="External"/><Relationship Id="rId59" Type="http://schemas.openxmlformats.org/officeDocument/2006/relationships/hyperlink" Target="https://www.digikey.sg/en/products/detail/murata-electronics/GRM188R61A105KA61D/587071?s=N4IgTCBcDaICwE4AMBaAjAVjgZhWFAcgCIgC6AvkA" TargetMode="External"/><Relationship Id="rId67" Type="http://schemas.openxmlformats.org/officeDocument/2006/relationships/hyperlink" Target="https://www.digikey.com/en/products/detail/susumu/RG2012L-682-L-T05/3738066" TargetMode="External"/><Relationship Id="rId20" Type="http://schemas.openxmlformats.org/officeDocument/2006/relationships/hyperlink" Target="https://www.digikey.com/en/products/detail/kemet/C0603C105K3RACTU/3317410" TargetMode="External"/><Relationship Id="rId41" Type="http://schemas.openxmlformats.org/officeDocument/2006/relationships/hyperlink" Target="https://www.digikey.sg/en/products/detail/murata-electronics/grm32er71e226ke15l/2039040" TargetMode="External"/><Relationship Id="rId54" Type="http://schemas.openxmlformats.org/officeDocument/2006/relationships/hyperlink" Target="https://www.digikey.sg/en/products/detail/murata-electronics/grm1885c1h101ja01d/586921" TargetMode="External"/><Relationship Id="rId62" Type="http://schemas.openxmlformats.org/officeDocument/2006/relationships/hyperlink" Target="https://www.digikey.com/en/products/detail/samsung-electro-mechanics/CL10C330JB8NNNC/3886728" TargetMode="External"/><Relationship Id="rId70" Type="http://schemas.openxmlformats.org/officeDocument/2006/relationships/hyperlink" Target="https://www.digikey.com/en/products/detail/panasonic-industry/ERA-3ARW104V/3073685" TargetMode="External"/><Relationship Id="rId75" Type="http://schemas.openxmlformats.org/officeDocument/2006/relationships/hyperlink" Target="https://www.digikey.com/en/products/detail/analog-devices-inc/AD8066ARZ-R7/654014" TargetMode="External"/><Relationship Id="rId1" Type="http://schemas.openxmlformats.org/officeDocument/2006/relationships/hyperlink" Target="https://www.mouser.vn/ProductDetail/Analog-Devices/AD8302ARUZ-RL7?qs=%2FtpEQrCGXCxf7u2FSUHSPQ%3D%3D" TargetMode="External"/><Relationship Id="rId6" Type="http://schemas.openxmlformats.org/officeDocument/2006/relationships/hyperlink" Target="https://www.digikey.com/en/products/detail/vishay-dale/TNPW0603200RBEEA/1606685?s=N4IgTCBcDaICoDkAKB1ADANjQZjGtASgEICiJAgiALoC%2BQA" TargetMode="External"/><Relationship Id="rId15" Type="http://schemas.openxmlformats.org/officeDocument/2006/relationships/hyperlink" Target="https://www.digikey.com/en/products/detail/yageo/rc0603fr-0751rl/727281" TargetMode="External"/><Relationship Id="rId23" Type="http://schemas.openxmlformats.org/officeDocument/2006/relationships/hyperlink" Target="https://www.digikey.com/en/products/detail/murata-electronics/grm1885c1h181ja01j/2611094" TargetMode="External"/><Relationship Id="rId28" Type="http://schemas.openxmlformats.org/officeDocument/2006/relationships/hyperlink" Target="https://www.digikey.com/en/products/detail/murata-electronics/GRM188R72A104KA35D/702826" TargetMode="External"/><Relationship Id="rId36" Type="http://schemas.openxmlformats.org/officeDocument/2006/relationships/hyperlink" Target="https://www.digikey.com/en/products/detail/texas-instruments/TLV75533PDBVR/9356541" TargetMode="External"/><Relationship Id="rId49" Type="http://schemas.openxmlformats.org/officeDocument/2006/relationships/hyperlink" Target="https://www.digikey.sg/en/products/detail/yageo/rc0603fr-0712kl/726913" TargetMode="External"/><Relationship Id="rId57" Type="http://schemas.openxmlformats.org/officeDocument/2006/relationships/hyperlink" Target="https://www.digikey.sg/en/products/detail/texas-instruments/tlv75533pdbvr/9356541" TargetMode="External"/><Relationship Id="rId10" Type="http://schemas.openxmlformats.org/officeDocument/2006/relationships/hyperlink" Target="https://www.digikey.com/en/products/detail/yageo/RC0603JR-070RL/726675?s=N4IgTCBcDaIEoGEAMA2JBmAUnAtEg7EnADIgC6AvkA" TargetMode="External"/><Relationship Id="rId31" Type="http://schemas.openxmlformats.org/officeDocument/2006/relationships/hyperlink" Target="https://www.digikey.com/en/products/detail/analog-devices-inc/ad8014arz/620459" TargetMode="External"/><Relationship Id="rId44" Type="http://schemas.openxmlformats.org/officeDocument/2006/relationships/hyperlink" Target="https://www.digikey.sg/en/products/detail/diodes-incorporated/DFLS240-7/1934953" TargetMode="External"/><Relationship Id="rId52" Type="http://schemas.openxmlformats.org/officeDocument/2006/relationships/hyperlink" Target="https://www.digikey.sg/en/products/detail/murata-electronics/gcj188r71h683ka12d/2783812" TargetMode="External"/><Relationship Id="rId60" Type="http://schemas.openxmlformats.org/officeDocument/2006/relationships/hyperlink" Target="https://www.digikey.com/en/products/detail/vishay-dale/CRCW06032K61FKEA/1174713" TargetMode="External"/><Relationship Id="rId65" Type="http://schemas.openxmlformats.org/officeDocument/2006/relationships/hyperlink" Target="https://www.digikey.com/en/products/detail/stackpole-electronics-inc/RNCF0603TKY499R/4072346" TargetMode="External"/><Relationship Id="rId73" Type="http://schemas.openxmlformats.org/officeDocument/2006/relationships/hyperlink" Target="https://www.digikey.com/en/products/detail/stackpole-electronics-inc/RNCF0603AKT10R0/4928378" TargetMode="External"/><Relationship Id="rId78" Type="http://schemas.openxmlformats.org/officeDocument/2006/relationships/hyperlink" Target="https://www.digikey.com/en/products/detail/kemet/c0402c102k5ractu/411034" TargetMode="External"/><Relationship Id="rId4" Type="http://schemas.openxmlformats.org/officeDocument/2006/relationships/hyperlink" Target="https://www.digikey.com/en/products/detail/analog-devices-inc/AD8130ARMZ-REEL/994072" TargetMode="External"/><Relationship Id="rId9" Type="http://schemas.openxmlformats.org/officeDocument/2006/relationships/hyperlink" Target="https://www.digikey.com/en/products/detail/vishay-dale/TNPW06031K00BEEA/1606767?s=N4IgTCBcDaICoDkAKBGAdABgwaQIK7gCUBaBAERAF0BfIA" TargetMode="External"/><Relationship Id="rId13" Type="http://schemas.openxmlformats.org/officeDocument/2006/relationships/hyperlink" Target="https://www.digikey.com/en/products/detail/yageo/rc0603fr-07510rl/727285" TargetMode="External"/><Relationship Id="rId18" Type="http://schemas.openxmlformats.org/officeDocument/2006/relationships/hyperlink" Target="https://www.digikey.com/en/products/detail/murata-electronics/GRM1885C1H200JA01D/586920" TargetMode="External"/><Relationship Id="rId39" Type="http://schemas.openxmlformats.org/officeDocument/2006/relationships/hyperlink" Target="https://www.digikey.com/en/products/detail/texas-instruments/TPD2E2U06QDBZRQ1/5056067" TargetMode="External"/><Relationship Id="rId34" Type="http://schemas.openxmlformats.org/officeDocument/2006/relationships/hyperlink" Target="https://www.digikey.com/en/products/detail/murata-electronics/LQW18ANR47J00D/584392" TargetMode="External"/><Relationship Id="rId50" Type="http://schemas.openxmlformats.org/officeDocument/2006/relationships/hyperlink" Target="https://www.digikey.sg/en/products/detail/murata-electronics/GCJ188R71H473KA12D/2785873?s=N4IgTCBcDaICwE4AMBaArADjXFYUDkAREAXQF8g" TargetMode="External"/><Relationship Id="rId55" Type="http://schemas.openxmlformats.org/officeDocument/2006/relationships/hyperlink" Target="https://www.digikey.sg/en/products/detail/analog-devices-inc/adp7182aujz-5-0-r7/4901224" TargetMode="External"/><Relationship Id="rId76" Type="http://schemas.openxmlformats.org/officeDocument/2006/relationships/hyperlink" Target="https://www.digikey.com/en/products/detail/analog-devices-inc/ADP2303ARDZ-5-0-R7/2606549" TargetMode="External"/><Relationship Id="rId7" Type="http://schemas.openxmlformats.org/officeDocument/2006/relationships/hyperlink" Target="https://www.digikey.com/en/products/detail/vishay-dale/tnpw0603280rbeea/1606702" TargetMode="External"/><Relationship Id="rId71" Type="http://schemas.openxmlformats.org/officeDocument/2006/relationships/hyperlink" Target="https://www.digikey.com/en/products/detail/susumu/RG1608N-103-W-T5/1257543" TargetMode="External"/><Relationship Id="rId2" Type="http://schemas.openxmlformats.org/officeDocument/2006/relationships/hyperlink" Target="https://www.digikey.com/en/products/detail/analog-devices-inc/AD9834BRUZ-REEL7/994992" TargetMode="External"/><Relationship Id="rId29" Type="http://schemas.openxmlformats.org/officeDocument/2006/relationships/hyperlink" Target="https://www.digikey.com/en/products/detail/murata-electronics/GRM188R72A103KA01D/3845635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EA4F97-B59B-4A33-BD02-D62B07553550}">
  <sheetPr filterMode="1"/>
  <dimension ref="A1:T80"/>
  <sheetViews>
    <sheetView tabSelected="1" zoomScale="130" zoomScaleNormal="130" workbookViewId="0">
      <pane ySplit="1" topLeftCell="A22" activePane="bottomLeft" state="frozen"/>
      <selection pane="bottomLeft" activeCell="H54" sqref="H54"/>
    </sheetView>
  </sheetViews>
  <sheetFormatPr defaultRowHeight="15" x14ac:dyDescent="0.25"/>
  <cols>
    <col min="1" max="1" width="8.28515625" customWidth="1"/>
    <col min="2" max="2" width="29.42578125" customWidth="1"/>
    <col min="3" max="3" width="23.85546875" customWidth="1"/>
    <col min="4" max="4" width="7" customWidth="1"/>
    <col min="5" max="5" width="46.7109375" customWidth="1"/>
    <col min="6" max="6" width="29.5703125" customWidth="1"/>
    <col min="7" max="7" width="13.85546875" customWidth="1"/>
    <col min="8" max="8" width="11.5703125" customWidth="1"/>
    <col min="9" max="9" width="18.140625" customWidth="1"/>
    <col min="10" max="10" width="14.85546875" customWidth="1"/>
    <col min="11" max="12" width="11.5703125" customWidth="1"/>
    <col min="13" max="13" width="9.7109375" customWidth="1"/>
    <col min="14" max="14" width="9.140625" customWidth="1"/>
    <col min="15" max="15" width="14.85546875" customWidth="1"/>
    <col min="16" max="16" width="16.140625" customWidth="1"/>
    <col min="18" max="18" width="5.140625" customWidth="1"/>
    <col min="19" max="19" width="15.42578125" bestFit="1" customWidth="1"/>
    <col min="20" max="20" width="16" bestFit="1" customWidth="1"/>
  </cols>
  <sheetData>
    <row r="1" spans="1:20" ht="41.25" customHeight="1" x14ac:dyDescent="0.25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8</v>
      </c>
      <c r="G1" s="3" t="s">
        <v>5</v>
      </c>
      <c r="H1" s="3" t="s">
        <v>6</v>
      </c>
      <c r="I1" s="3" t="s">
        <v>7</v>
      </c>
      <c r="J1" s="2" t="s">
        <v>11</v>
      </c>
      <c r="K1" s="2" t="s">
        <v>12</v>
      </c>
      <c r="L1" s="2" t="s">
        <v>322</v>
      </c>
      <c r="M1" s="56" t="s">
        <v>13</v>
      </c>
      <c r="N1" s="60" t="s">
        <v>324</v>
      </c>
      <c r="O1" s="58" t="s">
        <v>10</v>
      </c>
      <c r="P1" s="2" t="s">
        <v>9</v>
      </c>
      <c r="Q1" s="2" t="s">
        <v>14</v>
      </c>
    </row>
    <row r="2" spans="1:20" x14ac:dyDescent="0.25">
      <c r="A2" s="4">
        <v>1</v>
      </c>
      <c r="B2" s="4" t="s">
        <v>15</v>
      </c>
      <c r="C2" s="4" t="s">
        <v>16</v>
      </c>
      <c r="D2" s="4">
        <v>4</v>
      </c>
      <c r="E2" s="4" t="s">
        <v>17</v>
      </c>
      <c r="F2" s="7" t="s">
        <v>18</v>
      </c>
      <c r="G2" s="5">
        <v>17.920000000000002</v>
      </c>
      <c r="H2" s="5">
        <f>G2*D2</f>
        <v>71.680000000000007</v>
      </c>
      <c r="I2" s="6">
        <f>H2*26190</f>
        <v>1877299.2000000002</v>
      </c>
      <c r="J2" s="8" t="s">
        <v>21</v>
      </c>
      <c r="K2" s="8" t="s">
        <v>22</v>
      </c>
      <c r="L2" s="52" t="s">
        <v>21</v>
      </c>
      <c r="M2" s="9" t="s">
        <v>23</v>
      </c>
      <c r="N2" s="14"/>
      <c r="O2" s="59" t="s">
        <v>20</v>
      </c>
      <c r="P2" s="4" t="s">
        <v>30</v>
      </c>
      <c r="Q2" s="10" t="s">
        <v>24</v>
      </c>
      <c r="S2" s="31" t="s">
        <v>25</v>
      </c>
      <c r="T2" s="32">
        <f>SUM($H:$H)</f>
        <v>816.73574999999971</v>
      </c>
    </row>
    <row r="3" spans="1:20" x14ac:dyDescent="0.25">
      <c r="A3" s="4">
        <v>2</v>
      </c>
      <c r="B3" s="4" t="s">
        <v>26</v>
      </c>
      <c r="C3" s="4" t="s">
        <v>27</v>
      </c>
      <c r="D3" s="4">
        <v>4</v>
      </c>
      <c r="E3" s="4" t="s">
        <v>28</v>
      </c>
      <c r="F3" s="7" t="s">
        <v>29</v>
      </c>
      <c r="G3" s="5">
        <v>34.64</v>
      </c>
      <c r="H3" s="5">
        <f>G3*D3</f>
        <v>138.56</v>
      </c>
      <c r="I3" s="6">
        <f t="shared" ref="I3:I5" si="0">H3*26190</f>
        <v>3628886.4</v>
      </c>
      <c r="J3" s="8" t="s">
        <v>21</v>
      </c>
      <c r="K3" s="8" t="s">
        <v>22</v>
      </c>
      <c r="L3" s="52" t="s">
        <v>21</v>
      </c>
      <c r="M3" s="9" t="s">
        <v>31</v>
      </c>
      <c r="N3" s="14"/>
      <c r="O3" s="59" t="s">
        <v>20</v>
      </c>
      <c r="P3" s="4" t="s">
        <v>30</v>
      </c>
      <c r="Q3" s="10" t="s">
        <v>24</v>
      </c>
      <c r="S3" s="33" t="s">
        <v>32</v>
      </c>
      <c r="T3" s="34">
        <f>SUM($I:$I)</f>
        <v>21390309.292500004</v>
      </c>
    </row>
    <row r="4" spans="1:20" hidden="1" x14ac:dyDescent="0.25">
      <c r="A4" s="4">
        <v>3</v>
      </c>
      <c r="B4" s="4" t="s">
        <v>33</v>
      </c>
      <c r="C4" s="4" t="s">
        <v>34</v>
      </c>
      <c r="D4" s="4">
        <v>2</v>
      </c>
      <c r="E4" s="4" t="s">
        <v>35</v>
      </c>
      <c r="F4" s="7" t="s">
        <v>36</v>
      </c>
      <c r="G4" s="5">
        <v>6.69</v>
      </c>
      <c r="H4" s="5">
        <f>G4*D4</f>
        <v>13.38</v>
      </c>
      <c r="I4" s="6">
        <f t="shared" si="0"/>
        <v>350422.2</v>
      </c>
      <c r="J4" s="8" t="s">
        <v>21</v>
      </c>
      <c r="K4" s="8" t="s">
        <v>22</v>
      </c>
      <c r="L4" s="8"/>
      <c r="M4" s="9" t="s">
        <v>38</v>
      </c>
      <c r="N4" s="14"/>
      <c r="O4" s="59" t="s">
        <v>37</v>
      </c>
      <c r="P4" s="4" t="s">
        <v>30</v>
      </c>
      <c r="Q4" s="10" t="s">
        <v>24</v>
      </c>
      <c r="S4" s="31" t="s">
        <v>39</v>
      </c>
      <c r="T4" s="35">
        <f>$T$2*31.63</f>
        <v>25833.351772499991</v>
      </c>
    </row>
    <row r="5" spans="1:20" x14ac:dyDescent="0.25">
      <c r="A5" s="4">
        <v>4</v>
      </c>
      <c r="B5" s="4" t="s">
        <v>40</v>
      </c>
      <c r="C5" s="4" t="s">
        <v>41</v>
      </c>
      <c r="D5" s="4">
        <v>4</v>
      </c>
      <c r="E5" s="4" t="s">
        <v>42</v>
      </c>
      <c r="F5" s="7" t="s">
        <v>43</v>
      </c>
      <c r="G5" s="5">
        <v>5.18</v>
      </c>
      <c r="H5" s="5">
        <f>G5*D5</f>
        <v>20.72</v>
      </c>
      <c r="I5" s="6">
        <f t="shared" si="0"/>
        <v>542656.79999999993</v>
      </c>
      <c r="J5" s="8" t="s">
        <v>21</v>
      </c>
      <c r="K5" s="8" t="s">
        <v>22</v>
      </c>
      <c r="L5" s="52" t="s">
        <v>21</v>
      </c>
      <c r="M5" s="9" t="s">
        <v>44</v>
      </c>
      <c r="N5" s="14"/>
      <c r="O5" s="59" t="s">
        <v>20</v>
      </c>
      <c r="P5" s="4" t="s">
        <v>19</v>
      </c>
      <c r="Q5" s="10" t="s">
        <v>24</v>
      </c>
    </row>
    <row r="6" spans="1:20" hidden="1" x14ac:dyDescent="0.25">
      <c r="A6" s="4">
        <v>5</v>
      </c>
      <c r="B6" s="4" t="s">
        <v>45</v>
      </c>
      <c r="C6" s="4" t="s">
        <v>46</v>
      </c>
      <c r="D6" s="4">
        <v>25</v>
      </c>
      <c r="E6" s="4" t="s">
        <v>47</v>
      </c>
      <c r="F6" s="7" t="s">
        <v>48</v>
      </c>
      <c r="G6" s="5">
        <v>0.23</v>
      </c>
      <c r="H6" s="5">
        <f>G6*D6</f>
        <v>5.75</v>
      </c>
      <c r="I6" s="6">
        <f>H6*26190</f>
        <v>150592.5</v>
      </c>
      <c r="J6" s="8" t="s">
        <v>314</v>
      </c>
      <c r="K6" s="8" t="s">
        <v>50</v>
      </c>
      <c r="L6" s="9"/>
      <c r="M6" s="36" t="s">
        <v>51</v>
      </c>
      <c r="N6" s="61"/>
      <c r="O6" s="59" t="s">
        <v>49</v>
      </c>
      <c r="P6" s="4" t="s">
        <v>30</v>
      </c>
      <c r="Q6" s="10" t="s">
        <v>24</v>
      </c>
    </row>
    <row r="7" spans="1:20" hidden="1" x14ac:dyDescent="0.25">
      <c r="A7" s="4">
        <v>6</v>
      </c>
      <c r="B7" s="4" t="s">
        <v>52</v>
      </c>
      <c r="C7" s="4" t="s">
        <v>53</v>
      </c>
      <c r="D7" s="4">
        <v>25</v>
      </c>
      <c r="E7" s="4" t="s">
        <v>54</v>
      </c>
      <c r="F7" s="7" t="s">
        <v>55</v>
      </c>
      <c r="G7" s="5">
        <v>0.23</v>
      </c>
      <c r="H7" s="5">
        <f>G7*D7</f>
        <v>5.75</v>
      </c>
      <c r="I7" s="6">
        <f t="shared" ref="I7:I40" si="1">H7*26190</f>
        <v>150592.5</v>
      </c>
      <c r="J7" s="8">
        <v>200</v>
      </c>
      <c r="K7" s="8" t="s">
        <v>50</v>
      </c>
      <c r="L7" s="9"/>
      <c r="M7" s="36" t="s">
        <v>51</v>
      </c>
      <c r="N7" s="61"/>
      <c r="O7" s="59" t="s">
        <v>49</v>
      </c>
      <c r="P7" s="4" t="s">
        <v>30</v>
      </c>
      <c r="Q7" s="10" t="s">
        <v>24</v>
      </c>
    </row>
    <row r="8" spans="1:20" hidden="1" x14ac:dyDescent="0.25">
      <c r="A8" s="4">
        <v>7</v>
      </c>
      <c r="B8" s="4" t="s">
        <v>56</v>
      </c>
      <c r="C8" s="4" t="s">
        <v>57</v>
      </c>
      <c r="D8" s="4">
        <v>25</v>
      </c>
      <c r="E8" s="4" t="s">
        <v>58</v>
      </c>
      <c r="F8" s="7" t="s">
        <v>59</v>
      </c>
      <c r="G8" s="5">
        <v>0.23</v>
      </c>
      <c r="H8" s="5">
        <f>G8*D8</f>
        <v>5.75</v>
      </c>
      <c r="I8" s="6">
        <f t="shared" si="1"/>
        <v>150592.5</v>
      </c>
      <c r="J8" s="8">
        <v>280</v>
      </c>
      <c r="K8" s="8" t="s">
        <v>50</v>
      </c>
      <c r="L8" s="9"/>
      <c r="M8" s="36" t="s">
        <v>51</v>
      </c>
      <c r="N8" s="61"/>
      <c r="O8" s="59" t="s">
        <v>49</v>
      </c>
      <c r="P8" s="4" t="s">
        <v>30</v>
      </c>
      <c r="Q8" s="10" t="s">
        <v>24</v>
      </c>
    </row>
    <row r="9" spans="1:20" hidden="1" x14ac:dyDescent="0.25">
      <c r="A9" s="4">
        <v>8</v>
      </c>
      <c r="B9" s="4" t="s">
        <v>60</v>
      </c>
      <c r="C9" s="4" t="s">
        <v>61</v>
      </c>
      <c r="D9" s="4">
        <v>25</v>
      </c>
      <c r="E9" s="4" t="s">
        <v>62</v>
      </c>
      <c r="F9" s="7" t="s">
        <v>63</v>
      </c>
      <c r="G9" s="5">
        <v>0.23</v>
      </c>
      <c r="H9" s="5">
        <f>G9*D9</f>
        <v>5.75</v>
      </c>
      <c r="I9" s="6">
        <f t="shared" si="1"/>
        <v>150592.5</v>
      </c>
      <c r="J9" s="8" t="s">
        <v>315</v>
      </c>
      <c r="K9" s="8" t="s">
        <v>50</v>
      </c>
      <c r="L9" s="9"/>
      <c r="M9" s="36" t="s">
        <v>51</v>
      </c>
      <c r="N9" s="61"/>
      <c r="O9" s="59" t="s">
        <v>49</v>
      </c>
      <c r="P9" s="4" t="s">
        <v>30</v>
      </c>
      <c r="Q9" s="10" t="s">
        <v>24</v>
      </c>
    </row>
    <row r="10" spans="1:20" hidden="1" x14ac:dyDescent="0.25">
      <c r="A10" s="4">
        <v>9</v>
      </c>
      <c r="B10" s="4" t="s">
        <v>64</v>
      </c>
      <c r="C10" s="4" t="s">
        <v>65</v>
      </c>
      <c r="D10" s="4">
        <v>25</v>
      </c>
      <c r="E10" s="4" t="s">
        <v>66</v>
      </c>
      <c r="F10" s="7" t="s">
        <v>67</v>
      </c>
      <c r="G10" s="5">
        <v>0.1</v>
      </c>
      <c r="H10" s="5">
        <f>G10*D10</f>
        <v>2.5</v>
      </c>
      <c r="I10" s="6">
        <f t="shared" si="1"/>
        <v>65475</v>
      </c>
      <c r="J10" s="8">
        <v>22</v>
      </c>
      <c r="K10" s="8" t="s">
        <v>50</v>
      </c>
      <c r="L10" s="9"/>
      <c r="M10" s="36" t="s">
        <v>51</v>
      </c>
      <c r="N10" s="61"/>
      <c r="O10" s="59" t="s">
        <v>49</v>
      </c>
      <c r="P10" s="4" t="s">
        <v>30</v>
      </c>
      <c r="Q10" s="10" t="s">
        <v>24</v>
      </c>
    </row>
    <row r="11" spans="1:20" hidden="1" x14ac:dyDescent="0.25">
      <c r="A11" s="4">
        <v>10</v>
      </c>
      <c r="B11" s="4" t="s">
        <v>68</v>
      </c>
      <c r="C11" s="4" t="s">
        <v>68</v>
      </c>
      <c r="D11" s="4">
        <v>25</v>
      </c>
      <c r="E11" s="4" t="s">
        <v>69</v>
      </c>
      <c r="F11" s="7" t="s">
        <v>70</v>
      </c>
      <c r="G11" s="5">
        <v>0.1</v>
      </c>
      <c r="H11" s="5">
        <f>G11*D11</f>
        <v>2.5</v>
      </c>
      <c r="I11" s="6">
        <f t="shared" si="1"/>
        <v>65475</v>
      </c>
      <c r="J11" s="8">
        <v>0</v>
      </c>
      <c r="K11" s="8" t="s">
        <v>50</v>
      </c>
      <c r="L11" s="9"/>
      <c r="M11" s="36" t="s">
        <v>51</v>
      </c>
      <c r="N11" s="61"/>
      <c r="O11" s="59" t="s">
        <v>49</v>
      </c>
      <c r="P11" s="4" t="s">
        <v>30</v>
      </c>
      <c r="Q11" s="10" t="s">
        <v>24</v>
      </c>
    </row>
    <row r="12" spans="1:20" hidden="1" x14ac:dyDescent="0.25">
      <c r="A12" s="4">
        <v>11</v>
      </c>
      <c r="B12" s="4" t="s">
        <v>71</v>
      </c>
      <c r="C12" s="4" t="s">
        <v>72</v>
      </c>
      <c r="D12" s="4">
        <v>25</v>
      </c>
      <c r="E12" s="4" t="s">
        <v>73</v>
      </c>
      <c r="F12" s="7" t="s">
        <v>74</v>
      </c>
      <c r="G12" s="5">
        <v>0.23</v>
      </c>
      <c r="H12" s="5">
        <f>G12*D12</f>
        <v>5.75</v>
      </c>
      <c r="I12" s="6">
        <f t="shared" si="1"/>
        <v>150592.5</v>
      </c>
      <c r="J12" s="8">
        <v>499</v>
      </c>
      <c r="K12" s="8" t="s">
        <v>50</v>
      </c>
      <c r="L12" s="9"/>
      <c r="M12" s="36" t="s">
        <v>51</v>
      </c>
      <c r="N12" s="61"/>
      <c r="O12" s="59" t="s">
        <v>49</v>
      </c>
      <c r="P12" s="4" t="s">
        <v>30</v>
      </c>
      <c r="Q12" s="10" t="s">
        <v>24</v>
      </c>
    </row>
    <row r="13" spans="1:20" hidden="1" x14ac:dyDescent="0.25">
      <c r="A13" s="4">
        <v>12</v>
      </c>
      <c r="B13" s="4" t="s">
        <v>75</v>
      </c>
      <c r="C13" s="4" t="s">
        <v>76</v>
      </c>
      <c r="D13" s="4">
        <v>25</v>
      </c>
      <c r="E13" s="4" t="s">
        <v>77</v>
      </c>
      <c r="F13" s="7" t="s">
        <v>316</v>
      </c>
      <c r="G13" s="5">
        <v>0.23</v>
      </c>
      <c r="H13" s="5">
        <f>G13*D13</f>
        <v>5.75</v>
      </c>
      <c r="I13" s="6">
        <f t="shared" si="1"/>
        <v>150592.5</v>
      </c>
      <c r="J13" s="8" t="s">
        <v>315</v>
      </c>
      <c r="K13" s="8" t="s">
        <v>50</v>
      </c>
      <c r="L13" s="9"/>
      <c r="M13" s="36" t="s">
        <v>51</v>
      </c>
      <c r="N13" s="61"/>
      <c r="O13" s="59" t="s">
        <v>49</v>
      </c>
      <c r="P13" s="4" t="s">
        <v>30</v>
      </c>
      <c r="Q13" s="10" t="s">
        <v>24</v>
      </c>
    </row>
    <row r="14" spans="1:20" hidden="1" x14ac:dyDescent="0.25">
      <c r="A14" s="4">
        <v>13</v>
      </c>
      <c r="B14" s="4" t="s">
        <v>78</v>
      </c>
      <c r="C14" s="4" t="s">
        <v>79</v>
      </c>
      <c r="D14" s="4">
        <v>25</v>
      </c>
      <c r="E14" s="4" t="s">
        <v>80</v>
      </c>
      <c r="F14" s="13" t="s">
        <v>81</v>
      </c>
      <c r="G14" s="11">
        <v>0.1</v>
      </c>
      <c r="H14" s="5">
        <f>G14*D14</f>
        <v>2.5</v>
      </c>
      <c r="I14" s="12">
        <f t="shared" si="1"/>
        <v>65475</v>
      </c>
      <c r="J14" s="8">
        <v>510</v>
      </c>
      <c r="K14" s="8" t="s">
        <v>50</v>
      </c>
      <c r="L14" s="9"/>
      <c r="M14" s="36" t="s">
        <v>51</v>
      </c>
      <c r="N14" s="61"/>
      <c r="O14" s="59" t="s">
        <v>49</v>
      </c>
      <c r="P14" s="4" t="s">
        <v>30</v>
      </c>
      <c r="Q14" s="10" t="s">
        <v>24</v>
      </c>
    </row>
    <row r="15" spans="1:20" hidden="1" x14ac:dyDescent="0.25">
      <c r="A15" s="4">
        <v>14</v>
      </c>
      <c r="B15" s="4" t="s">
        <v>82</v>
      </c>
      <c r="C15" s="4" t="s">
        <v>83</v>
      </c>
      <c r="D15" s="4">
        <v>25</v>
      </c>
      <c r="E15" s="4" t="s">
        <v>84</v>
      </c>
      <c r="F15" s="13" t="s">
        <v>85</v>
      </c>
      <c r="G15" s="11">
        <v>2E-3</v>
      </c>
      <c r="H15" s="5">
        <f>G15*D15</f>
        <v>0.05</v>
      </c>
      <c r="I15" s="12">
        <f t="shared" si="1"/>
        <v>1309.5</v>
      </c>
      <c r="J15" s="8" t="s">
        <v>317</v>
      </c>
      <c r="K15" s="8" t="s">
        <v>50</v>
      </c>
      <c r="L15" s="9"/>
      <c r="M15" s="36" t="s">
        <v>51</v>
      </c>
      <c r="N15" s="61"/>
      <c r="O15" s="59" t="s">
        <v>49</v>
      </c>
      <c r="P15" s="4" t="s">
        <v>30</v>
      </c>
      <c r="Q15" s="10" t="s">
        <v>24</v>
      </c>
    </row>
    <row r="16" spans="1:20" hidden="1" x14ac:dyDescent="0.25">
      <c r="A16" s="4">
        <v>15</v>
      </c>
      <c r="B16" s="4" t="s">
        <v>86</v>
      </c>
      <c r="C16" s="4" t="s">
        <v>87</v>
      </c>
      <c r="D16" s="4">
        <v>25</v>
      </c>
      <c r="E16" s="4" t="s">
        <v>88</v>
      </c>
      <c r="F16" s="13" t="s">
        <v>89</v>
      </c>
      <c r="G16" s="11">
        <v>0.1</v>
      </c>
      <c r="H16" s="5">
        <f>G16*D16</f>
        <v>2.5</v>
      </c>
      <c r="I16" s="12">
        <f t="shared" si="1"/>
        <v>65475</v>
      </c>
      <c r="J16" s="8">
        <v>51</v>
      </c>
      <c r="K16" s="8" t="s">
        <v>50</v>
      </c>
      <c r="L16" s="9"/>
      <c r="M16" s="36" t="s">
        <v>51</v>
      </c>
      <c r="N16" s="61"/>
      <c r="O16" s="59" t="s">
        <v>49</v>
      </c>
      <c r="P16" s="4" t="s">
        <v>30</v>
      </c>
      <c r="Q16" s="10" t="s">
        <v>24</v>
      </c>
    </row>
    <row r="17" spans="1:17" hidden="1" x14ac:dyDescent="0.25">
      <c r="A17" s="4">
        <v>16</v>
      </c>
      <c r="B17" s="4" t="s">
        <v>90</v>
      </c>
      <c r="C17" s="4" t="s">
        <v>91</v>
      </c>
      <c r="D17" s="4">
        <v>25</v>
      </c>
      <c r="E17" s="14" t="s">
        <v>92</v>
      </c>
      <c r="F17" s="13" t="s">
        <v>93</v>
      </c>
      <c r="G17" s="11">
        <v>0.1</v>
      </c>
      <c r="H17" s="5">
        <f>G17*D17</f>
        <v>2.5</v>
      </c>
      <c r="I17" s="12">
        <f t="shared" si="1"/>
        <v>65475</v>
      </c>
      <c r="J17" s="8" t="s">
        <v>94</v>
      </c>
      <c r="K17" s="8" t="s">
        <v>50</v>
      </c>
      <c r="L17" s="9"/>
      <c r="M17" s="36" t="s">
        <v>51</v>
      </c>
      <c r="N17" s="61"/>
      <c r="O17" s="59" t="s">
        <v>49</v>
      </c>
      <c r="P17" s="4" t="s">
        <v>30</v>
      </c>
      <c r="Q17" s="10" t="s">
        <v>24</v>
      </c>
    </row>
    <row r="18" spans="1:17" hidden="1" x14ac:dyDescent="0.25">
      <c r="A18" s="4">
        <v>17</v>
      </c>
      <c r="B18" s="4" t="s">
        <v>95</v>
      </c>
      <c r="C18" s="4" t="s">
        <v>96</v>
      </c>
      <c r="D18" s="4">
        <v>25</v>
      </c>
      <c r="E18" s="14" t="s">
        <v>97</v>
      </c>
      <c r="F18" s="13" t="s">
        <v>98</v>
      </c>
      <c r="G18" s="11">
        <v>0.31</v>
      </c>
      <c r="H18" s="5">
        <f>G18*D18</f>
        <v>7.75</v>
      </c>
      <c r="I18" s="12">
        <f t="shared" si="1"/>
        <v>202972.5</v>
      </c>
      <c r="J18" s="8">
        <v>10</v>
      </c>
      <c r="K18" s="8" t="s">
        <v>50</v>
      </c>
      <c r="L18" s="9"/>
      <c r="M18" s="36" t="s">
        <v>51</v>
      </c>
      <c r="N18" s="61"/>
      <c r="O18" s="59" t="s">
        <v>49</v>
      </c>
      <c r="P18" s="4" t="s">
        <v>30</v>
      </c>
      <c r="Q18" s="10" t="s">
        <v>24</v>
      </c>
    </row>
    <row r="19" spans="1:17" x14ac:dyDescent="0.25">
      <c r="A19" s="4">
        <v>18</v>
      </c>
      <c r="B19" s="4" t="s">
        <v>99</v>
      </c>
      <c r="C19" s="4" t="s">
        <v>100</v>
      </c>
      <c r="D19" s="4">
        <v>25</v>
      </c>
      <c r="E19" s="4" t="s">
        <v>101</v>
      </c>
      <c r="F19" s="13" t="s">
        <v>102</v>
      </c>
      <c r="G19" s="11">
        <v>0.12</v>
      </c>
      <c r="H19" s="5">
        <f>G19*D19</f>
        <v>3</v>
      </c>
      <c r="I19" s="12">
        <f t="shared" si="1"/>
        <v>78570</v>
      </c>
      <c r="J19" s="8" t="s">
        <v>104</v>
      </c>
      <c r="K19" s="8" t="s">
        <v>105</v>
      </c>
      <c r="L19" s="9"/>
      <c r="M19" s="36" t="s">
        <v>51</v>
      </c>
      <c r="N19" s="61"/>
      <c r="O19" s="59" t="s">
        <v>103</v>
      </c>
      <c r="P19" s="4" t="s">
        <v>30</v>
      </c>
      <c r="Q19" s="10" t="s">
        <v>24</v>
      </c>
    </row>
    <row r="20" spans="1:17" x14ac:dyDescent="0.25">
      <c r="A20" s="4">
        <v>19</v>
      </c>
      <c r="B20" s="4" t="s">
        <v>106</v>
      </c>
      <c r="C20" s="4" t="s">
        <v>107</v>
      </c>
      <c r="D20" s="4">
        <v>25</v>
      </c>
      <c r="E20" s="4" t="s">
        <v>108</v>
      </c>
      <c r="F20" s="13" t="s">
        <v>109</v>
      </c>
      <c r="G20" s="11">
        <v>0.08</v>
      </c>
      <c r="H20" s="5">
        <f>G20*D20</f>
        <v>2</v>
      </c>
      <c r="I20" s="12">
        <f t="shared" si="1"/>
        <v>52380</v>
      </c>
      <c r="J20" s="8" t="s">
        <v>110</v>
      </c>
      <c r="K20" s="8" t="s">
        <v>105</v>
      </c>
      <c r="L20" s="9"/>
      <c r="M20" s="36" t="s">
        <v>51</v>
      </c>
      <c r="N20" s="61"/>
      <c r="O20" s="59" t="s">
        <v>103</v>
      </c>
      <c r="P20" s="4" t="s">
        <v>30</v>
      </c>
      <c r="Q20" s="10" t="s">
        <v>24</v>
      </c>
    </row>
    <row r="21" spans="1:17" x14ac:dyDescent="0.25">
      <c r="A21" s="4">
        <v>20</v>
      </c>
      <c r="B21" s="4" t="s">
        <v>111</v>
      </c>
      <c r="C21" s="4" t="s">
        <v>112</v>
      </c>
      <c r="D21" s="4">
        <v>25</v>
      </c>
      <c r="E21" s="4" t="s">
        <v>113</v>
      </c>
      <c r="F21" s="13" t="s">
        <v>114</v>
      </c>
      <c r="G21" s="11">
        <v>0.41</v>
      </c>
      <c r="H21" s="5">
        <f>G21*D21</f>
        <v>10.25</v>
      </c>
      <c r="I21" s="12">
        <f t="shared" si="1"/>
        <v>268447.5</v>
      </c>
      <c r="J21" s="8" t="s">
        <v>299</v>
      </c>
      <c r="K21" s="8" t="s">
        <v>105</v>
      </c>
      <c r="L21" s="9"/>
      <c r="M21" s="36" t="s">
        <v>51</v>
      </c>
      <c r="N21" s="61"/>
      <c r="O21" s="59" t="s">
        <v>103</v>
      </c>
      <c r="P21" s="4" t="s">
        <v>30</v>
      </c>
      <c r="Q21" s="10" t="s">
        <v>24</v>
      </c>
    </row>
    <row r="22" spans="1:17" x14ac:dyDescent="0.25">
      <c r="A22" s="4">
        <v>21</v>
      </c>
      <c r="B22" s="4" t="s">
        <v>115</v>
      </c>
      <c r="C22" s="4" t="s">
        <v>116</v>
      </c>
      <c r="D22" s="4">
        <v>25</v>
      </c>
      <c r="E22" s="4" t="s">
        <v>117</v>
      </c>
      <c r="F22" s="7" t="s">
        <v>118</v>
      </c>
      <c r="G22" s="5">
        <v>1.4800000000000001E-2</v>
      </c>
      <c r="H22" s="5">
        <f>G22*D22</f>
        <v>0.37</v>
      </c>
      <c r="I22" s="6">
        <f t="shared" si="1"/>
        <v>9690.2999999999993</v>
      </c>
      <c r="J22" s="8" t="s">
        <v>355</v>
      </c>
      <c r="K22" s="8" t="s">
        <v>105</v>
      </c>
      <c r="L22" s="9"/>
      <c r="M22" s="37" t="s">
        <v>119</v>
      </c>
      <c r="N22" s="61"/>
      <c r="O22" s="59" t="s">
        <v>103</v>
      </c>
      <c r="P22" s="4" t="s">
        <v>30</v>
      </c>
      <c r="Q22" s="10" t="s">
        <v>24</v>
      </c>
    </row>
    <row r="23" spans="1:17" x14ac:dyDescent="0.25">
      <c r="A23" s="4">
        <v>22</v>
      </c>
      <c r="B23" s="4" t="s">
        <v>120</v>
      </c>
      <c r="C23" s="4" t="s">
        <v>121</v>
      </c>
      <c r="D23" s="4">
        <v>25</v>
      </c>
      <c r="E23" s="4" t="s">
        <v>122</v>
      </c>
      <c r="F23" s="7" t="s">
        <v>123</v>
      </c>
      <c r="G23" s="5">
        <v>2.5000000000000001E-2</v>
      </c>
      <c r="H23" s="5">
        <f>G23*D23</f>
        <v>0.625</v>
      </c>
      <c r="I23" s="6">
        <f t="shared" si="1"/>
        <v>16368.75</v>
      </c>
      <c r="J23" s="8" t="s">
        <v>353</v>
      </c>
      <c r="K23" s="8" t="s">
        <v>105</v>
      </c>
      <c r="L23" s="9"/>
      <c r="M23" s="37" t="s">
        <v>124</v>
      </c>
      <c r="N23" s="61"/>
      <c r="O23" s="59" t="s">
        <v>103</v>
      </c>
      <c r="P23" s="4" t="s">
        <v>30</v>
      </c>
      <c r="Q23" s="10" t="s">
        <v>24</v>
      </c>
    </row>
    <row r="24" spans="1:17" x14ac:dyDescent="0.25">
      <c r="A24" s="4">
        <v>23</v>
      </c>
      <c r="B24" s="4" t="s">
        <v>125</v>
      </c>
      <c r="C24" s="4" t="s">
        <v>126</v>
      </c>
      <c r="D24" s="4">
        <v>25</v>
      </c>
      <c r="E24" s="4" t="s">
        <v>127</v>
      </c>
      <c r="F24" s="7" t="s">
        <v>128</v>
      </c>
      <c r="G24" s="5">
        <v>1.822E-2</v>
      </c>
      <c r="H24" s="5">
        <f>G24*D24</f>
        <v>0.45550000000000002</v>
      </c>
      <c r="I24" s="6">
        <f t="shared" si="1"/>
        <v>11929.545</v>
      </c>
      <c r="J24" s="8" t="s">
        <v>129</v>
      </c>
      <c r="K24" s="8" t="s">
        <v>105</v>
      </c>
      <c r="L24" s="9"/>
      <c r="M24" s="36" t="s">
        <v>51</v>
      </c>
      <c r="N24" s="61"/>
      <c r="O24" s="59" t="s">
        <v>103</v>
      </c>
      <c r="P24" s="4" t="s">
        <v>30</v>
      </c>
      <c r="Q24" s="10" t="s">
        <v>24</v>
      </c>
    </row>
    <row r="25" spans="1:17" x14ac:dyDescent="0.25">
      <c r="A25" s="4">
        <v>24</v>
      </c>
      <c r="B25" s="4" t="s">
        <v>130</v>
      </c>
      <c r="C25" s="4" t="s">
        <v>131</v>
      </c>
      <c r="D25" s="4">
        <v>25</v>
      </c>
      <c r="E25" s="4" t="s">
        <v>132</v>
      </c>
      <c r="F25" s="7" t="s">
        <v>133</v>
      </c>
      <c r="G25" s="5">
        <v>0.13</v>
      </c>
      <c r="H25" s="5">
        <f>G25*D25</f>
        <v>3.25</v>
      </c>
      <c r="I25" s="6">
        <f t="shared" si="1"/>
        <v>85117.5</v>
      </c>
      <c r="J25" s="8" t="s">
        <v>134</v>
      </c>
      <c r="K25" s="8" t="s">
        <v>105</v>
      </c>
      <c r="L25" s="9"/>
      <c r="M25" s="36" t="s">
        <v>51</v>
      </c>
      <c r="N25" s="61"/>
      <c r="O25" s="59" t="s">
        <v>103</v>
      </c>
      <c r="P25" s="4" t="s">
        <v>30</v>
      </c>
      <c r="Q25" s="10" t="s">
        <v>24</v>
      </c>
    </row>
    <row r="26" spans="1:17" x14ac:dyDescent="0.25">
      <c r="A26" s="4">
        <v>25</v>
      </c>
      <c r="B26" s="4" t="s">
        <v>135</v>
      </c>
      <c r="C26" s="4" t="s">
        <v>136</v>
      </c>
      <c r="D26" s="4">
        <v>25</v>
      </c>
      <c r="E26" s="4" t="s">
        <v>137</v>
      </c>
      <c r="F26" s="7" t="s">
        <v>138</v>
      </c>
      <c r="G26" s="5">
        <v>0.11</v>
      </c>
      <c r="H26" s="5">
        <f>G26*D26</f>
        <v>2.75</v>
      </c>
      <c r="I26" s="6">
        <f t="shared" si="1"/>
        <v>72022.5</v>
      </c>
      <c r="J26" s="8" t="s">
        <v>139</v>
      </c>
      <c r="K26" s="8" t="s">
        <v>105</v>
      </c>
      <c r="L26" s="9"/>
      <c r="M26" s="36" t="s">
        <v>51</v>
      </c>
      <c r="N26" s="61"/>
      <c r="O26" s="59" t="s">
        <v>103</v>
      </c>
      <c r="P26" s="4" t="s">
        <v>30</v>
      </c>
      <c r="Q26" s="10" t="s">
        <v>24</v>
      </c>
    </row>
    <row r="27" spans="1:17" x14ac:dyDescent="0.25">
      <c r="A27" s="4">
        <v>26</v>
      </c>
      <c r="B27" s="4" t="s">
        <v>140</v>
      </c>
      <c r="C27" s="4" t="s">
        <v>141</v>
      </c>
      <c r="D27" s="4">
        <v>25</v>
      </c>
      <c r="E27" s="4" t="s">
        <v>142</v>
      </c>
      <c r="F27" s="7" t="s">
        <v>143</v>
      </c>
      <c r="G27" s="5">
        <v>2.5010000000000001E-2</v>
      </c>
      <c r="H27" s="5">
        <f>G27*D27</f>
        <v>0.62524999999999997</v>
      </c>
      <c r="I27" s="6">
        <f t="shared" si="1"/>
        <v>16375.297499999999</v>
      </c>
      <c r="J27" s="8" t="s">
        <v>144</v>
      </c>
      <c r="K27" s="8" t="s">
        <v>105</v>
      </c>
      <c r="L27" s="9"/>
      <c r="M27" s="36" t="s">
        <v>51</v>
      </c>
      <c r="N27" s="61"/>
      <c r="O27" s="59" t="s">
        <v>103</v>
      </c>
      <c r="P27" s="4" t="s">
        <v>30</v>
      </c>
      <c r="Q27" s="10" t="s">
        <v>24</v>
      </c>
    </row>
    <row r="28" spans="1:17" x14ac:dyDescent="0.25">
      <c r="A28" s="4">
        <v>27</v>
      </c>
      <c r="B28" s="4" t="s">
        <v>145</v>
      </c>
      <c r="C28" s="4" t="s">
        <v>146</v>
      </c>
      <c r="D28" s="4">
        <v>25</v>
      </c>
      <c r="E28" s="4" t="s">
        <v>147</v>
      </c>
      <c r="F28" s="7" t="s">
        <v>148</v>
      </c>
      <c r="G28" s="5">
        <v>0.12</v>
      </c>
      <c r="H28" s="5">
        <f>G28*D28</f>
        <v>3</v>
      </c>
      <c r="I28" s="6">
        <f t="shared" si="1"/>
        <v>78570</v>
      </c>
      <c r="J28" s="8" t="s">
        <v>149</v>
      </c>
      <c r="K28" s="8" t="s">
        <v>105</v>
      </c>
      <c r="L28" s="9"/>
      <c r="M28" s="36" t="s">
        <v>51</v>
      </c>
      <c r="N28" s="61"/>
      <c r="O28" s="59" t="s">
        <v>103</v>
      </c>
      <c r="P28" s="4" t="s">
        <v>30</v>
      </c>
      <c r="Q28" s="10" t="s">
        <v>24</v>
      </c>
    </row>
    <row r="29" spans="1:17" x14ac:dyDescent="0.25">
      <c r="A29" s="4">
        <v>28</v>
      </c>
      <c r="B29" s="4" t="s">
        <v>150</v>
      </c>
      <c r="C29" s="4" t="s">
        <v>151</v>
      </c>
      <c r="D29" s="4">
        <v>25</v>
      </c>
      <c r="E29" s="4" t="s">
        <v>152</v>
      </c>
      <c r="F29" s="7" t="s">
        <v>153</v>
      </c>
      <c r="G29" s="5">
        <v>0.14000000000000001</v>
      </c>
      <c r="H29" s="5">
        <f>G29*D29</f>
        <v>3.5000000000000004</v>
      </c>
      <c r="I29" s="6">
        <f t="shared" si="1"/>
        <v>91665.000000000015</v>
      </c>
      <c r="J29" s="8" t="s">
        <v>110</v>
      </c>
      <c r="K29" s="8" t="s">
        <v>105</v>
      </c>
      <c r="L29" s="9"/>
      <c r="M29" s="36" t="s">
        <v>51</v>
      </c>
      <c r="N29" s="61"/>
      <c r="O29" s="59" t="s">
        <v>103</v>
      </c>
      <c r="P29" s="4" t="s">
        <v>30</v>
      </c>
      <c r="Q29" s="10" t="s">
        <v>24</v>
      </c>
    </row>
    <row r="30" spans="1:17" x14ac:dyDescent="0.25">
      <c r="A30" s="4">
        <v>29</v>
      </c>
      <c r="B30" s="4" t="s">
        <v>154</v>
      </c>
      <c r="C30" s="4" t="s">
        <v>155</v>
      </c>
      <c r="D30" s="4">
        <v>25</v>
      </c>
      <c r="E30" s="4" t="s">
        <v>156</v>
      </c>
      <c r="F30" s="7" t="s">
        <v>157</v>
      </c>
      <c r="G30" s="5">
        <v>0.1</v>
      </c>
      <c r="H30" s="5">
        <f>G30*D30</f>
        <v>2.5</v>
      </c>
      <c r="I30" s="6">
        <f t="shared" si="1"/>
        <v>65475</v>
      </c>
      <c r="J30" s="8" t="s">
        <v>493</v>
      </c>
      <c r="K30" s="8" t="s">
        <v>105</v>
      </c>
      <c r="L30" s="9"/>
      <c r="M30" s="36" t="s">
        <v>51</v>
      </c>
      <c r="N30" s="61"/>
      <c r="O30" s="59" t="s">
        <v>103</v>
      </c>
      <c r="P30" s="4" t="s">
        <v>30</v>
      </c>
      <c r="Q30" s="10" t="s">
        <v>24</v>
      </c>
    </row>
    <row r="31" spans="1:17" hidden="1" x14ac:dyDescent="0.25">
      <c r="A31" s="4">
        <v>30</v>
      </c>
      <c r="B31" s="20" t="s">
        <v>158</v>
      </c>
      <c r="C31" s="20" t="s">
        <v>159</v>
      </c>
      <c r="D31" s="20">
        <v>25</v>
      </c>
      <c r="E31" s="20" t="s">
        <v>160</v>
      </c>
      <c r="F31" s="23" t="s">
        <v>161</v>
      </c>
      <c r="G31" s="21">
        <v>0.1</v>
      </c>
      <c r="H31" s="11">
        <f>G31*D31</f>
        <v>2.5</v>
      </c>
      <c r="I31" s="22">
        <f t="shared" si="1"/>
        <v>65475</v>
      </c>
      <c r="J31" s="24">
        <v>49.9</v>
      </c>
      <c r="K31" s="24" t="s">
        <v>50</v>
      </c>
      <c r="L31" s="25"/>
      <c r="M31" s="36" t="s">
        <v>51</v>
      </c>
      <c r="N31" s="61"/>
      <c r="O31" s="47" t="s">
        <v>49</v>
      </c>
      <c r="P31" s="4" t="s">
        <v>30</v>
      </c>
      <c r="Q31" s="10" t="s">
        <v>24</v>
      </c>
    </row>
    <row r="32" spans="1:17" x14ac:dyDescent="0.25">
      <c r="A32" s="4">
        <v>31</v>
      </c>
      <c r="B32" s="20" t="s">
        <v>162</v>
      </c>
      <c r="C32" s="20" t="s">
        <v>163</v>
      </c>
      <c r="D32" s="20">
        <v>4</v>
      </c>
      <c r="E32" s="20" t="s">
        <v>164</v>
      </c>
      <c r="F32" s="23" t="s">
        <v>165</v>
      </c>
      <c r="G32" s="21">
        <v>4.59</v>
      </c>
      <c r="H32" s="11">
        <f>G32*D32</f>
        <v>18.36</v>
      </c>
      <c r="I32" s="22">
        <f t="shared" si="1"/>
        <v>480848.39999999997</v>
      </c>
      <c r="J32" s="24" t="s">
        <v>21</v>
      </c>
      <c r="K32" s="8" t="s">
        <v>22</v>
      </c>
      <c r="L32" s="52" t="s">
        <v>21</v>
      </c>
      <c r="M32" s="25" t="s">
        <v>166</v>
      </c>
      <c r="N32" s="20"/>
      <c r="O32" s="47" t="s">
        <v>20</v>
      </c>
      <c r="P32" s="4" t="s">
        <v>30</v>
      </c>
      <c r="Q32" s="10" t="s">
        <v>24</v>
      </c>
    </row>
    <row r="33" spans="1:17" hidden="1" x14ac:dyDescent="0.25">
      <c r="A33" s="4">
        <v>32</v>
      </c>
      <c r="B33" s="20" t="s">
        <v>167</v>
      </c>
      <c r="C33" s="20" t="s">
        <v>168</v>
      </c>
      <c r="D33" s="20">
        <v>25</v>
      </c>
      <c r="E33" s="20" t="s">
        <v>169</v>
      </c>
      <c r="F33" s="23" t="s">
        <v>170</v>
      </c>
      <c r="G33" s="21">
        <v>0.11</v>
      </c>
      <c r="H33" s="11">
        <f>G33*D33</f>
        <v>2.75</v>
      </c>
      <c r="I33" s="22">
        <f t="shared" si="1"/>
        <v>72022.5</v>
      </c>
      <c r="J33" s="24" t="s">
        <v>172</v>
      </c>
      <c r="K33" s="25" t="s">
        <v>173</v>
      </c>
      <c r="L33" s="25"/>
      <c r="M33" s="36" t="s">
        <v>51</v>
      </c>
      <c r="N33" s="61"/>
      <c r="O33" s="47" t="s">
        <v>171</v>
      </c>
      <c r="P33" s="4" t="s">
        <v>30</v>
      </c>
      <c r="Q33" s="10" t="s">
        <v>24</v>
      </c>
    </row>
    <row r="34" spans="1:17" hidden="1" x14ac:dyDescent="0.25">
      <c r="A34" s="4">
        <v>33</v>
      </c>
      <c r="B34" s="20" t="s">
        <v>174</v>
      </c>
      <c r="C34" s="20" t="s">
        <v>175</v>
      </c>
      <c r="D34" s="20">
        <v>25</v>
      </c>
      <c r="E34" s="20" t="s">
        <v>176</v>
      </c>
      <c r="F34" s="23" t="s">
        <v>177</v>
      </c>
      <c r="G34" s="21">
        <v>0.11</v>
      </c>
      <c r="H34" s="11">
        <f>G34*D34</f>
        <v>2.75</v>
      </c>
      <c r="I34" s="22">
        <f t="shared" si="1"/>
        <v>72022.5</v>
      </c>
      <c r="J34" s="24" t="s">
        <v>178</v>
      </c>
      <c r="K34" s="25" t="s">
        <v>173</v>
      </c>
      <c r="L34" s="25"/>
      <c r="M34" s="36" t="s">
        <v>51</v>
      </c>
      <c r="N34" s="61"/>
      <c r="O34" s="47" t="s">
        <v>171</v>
      </c>
      <c r="P34" s="4" t="s">
        <v>30</v>
      </c>
      <c r="Q34" s="10" t="s">
        <v>24</v>
      </c>
    </row>
    <row r="35" spans="1:17" hidden="1" x14ac:dyDescent="0.25">
      <c r="A35" s="4">
        <v>34</v>
      </c>
      <c r="B35" s="20" t="s">
        <v>179</v>
      </c>
      <c r="C35" s="20" t="s">
        <v>180</v>
      </c>
      <c r="D35" s="20">
        <v>25</v>
      </c>
      <c r="E35" s="20" t="s">
        <v>181</v>
      </c>
      <c r="F35" s="23" t="s">
        <v>182</v>
      </c>
      <c r="G35" s="21">
        <v>0.11</v>
      </c>
      <c r="H35" s="11">
        <f>G35*D35</f>
        <v>2.75</v>
      </c>
      <c r="I35" s="22">
        <f t="shared" si="1"/>
        <v>72022.5</v>
      </c>
      <c r="J35" s="24" t="s">
        <v>183</v>
      </c>
      <c r="K35" s="25" t="s">
        <v>173</v>
      </c>
      <c r="L35" s="25"/>
      <c r="M35" s="36" t="s">
        <v>51</v>
      </c>
      <c r="N35" s="61"/>
      <c r="O35" s="47" t="s">
        <v>171</v>
      </c>
      <c r="P35" s="4" t="s">
        <v>30</v>
      </c>
      <c r="Q35" s="10" t="s">
        <v>24</v>
      </c>
    </row>
    <row r="36" spans="1:17" hidden="1" x14ac:dyDescent="0.25">
      <c r="A36" s="4">
        <v>35</v>
      </c>
      <c r="B36" s="20" t="s">
        <v>184</v>
      </c>
      <c r="C36" s="20" t="s">
        <v>185</v>
      </c>
      <c r="D36" s="20">
        <v>4</v>
      </c>
      <c r="E36" s="20" t="s">
        <v>186</v>
      </c>
      <c r="F36" s="23" t="s">
        <v>187</v>
      </c>
      <c r="G36" s="21">
        <v>3.85</v>
      </c>
      <c r="H36" s="11">
        <f>G36*D36</f>
        <v>15.4</v>
      </c>
      <c r="I36" s="22">
        <f t="shared" si="1"/>
        <v>403326</v>
      </c>
      <c r="J36" s="24" t="s">
        <v>189</v>
      </c>
      <c r="K36" s="25" t="s">
        <v>190</v>
      </c>
      <c r="L36" s="25"/>
      <c r="M36" s="25" t="s">
        <v>191</v>
      </c>
      <c r="N36" s="20"/>
      <c r="O36" s="47" t="s">
        <v>188</v>
      </c>
      <c r="P36" s="4" t="s">
        <v>30</v>
      </c>
      <c r="Q36" s="10" t="s">
        <v>24</v>
      </c>
    </row>
    <row r="37" spans="1:17" x14ac:dyDescent="0.25">
      <c r="A37" s="4">
        <v>36</v>
      </c>
      <c r="B37" s="20" t="s">
        <v>192</v>
      </c>
      <c r="C37" s="20" t="s">
        <v>193</v>
      </c>
      <c r="D37" s="20">
        <v>10</v>
      </c>
      <c r="E37" s="20" t="s">
        <v>490</v>
      </c>
      <c r="F37" s="23" t="s">
        <v>194</v>
      </c>
      <c r="G37" s="21">
        <v>0.25</v>
      </c>
      <c r="H37" s="11">
        <f>G37*D37</f>
        <v>2.5</v>
      </c>
      <c r="I37" s="22">
        <f t="shared" si="1"/>
        <v>65475</v>
      </c>
      <c r="J37" s="24" t="s">
        <v>21</v>
      </c>
      <c r="K37" s="8" t="s">
        <v>22</v>
      </c>
      <c r="L37" s="52" t="s">
        <v>21</v>
      </c>
      <c r="M37" s="25" t="s">
        <v>195</v>
      </c>
      <c r="N37" s="20"/>
      <c r="O37" s="47" t="s">
        <v>20</v>
      </c>
      <c r="P37" s="4" t="s">
        <v>30</v>
      </c>
      <c r="Q37" s="10" t="s">
        <v>24</v>
      </c>
    </row>
    <row r="38" spans="1:17" hidden="1" x14ac:dyDescent="0.25">
      <c r="A38" s="4">
        <v>37</v>
      </c>
      <c r="B38" s="20" t="s">
        <v>196</v>
      </c>
      <c r="C38" s="20" t="s">
        <v>197</v>
      </c>
      <c r="D38" s="20">
        <v>10</v>
      </c>
      <c r="E38" s="20" t="s">
        <v>198</v>
      </c>
      <c r="F38" s="23" t="s">
        <v>199</v>
      </c>
      <c r="G38" s="21">
        <v>0.42599999999999999</v>
      </c>
      <c r="H38" s="11">
        <f>G38*D38</f>
        <v>4.26</v>
      </c>
      <c r="I38" s="43">
        <f t="shared" si="1"/>
        <v>111569.4</v>
      </c>
      <c r="J38" s="51" t="s">
        <v>21</v>
      </c>
      <c r="K38" s="20" t="s">
        <v>22</v>
      </c>
      <c r="L38" s="20"/>
      <c r="M38" s="38" t="s">
        <v>201</v>
      </c>
      <c r="N38" s="62"/>
      <c r="O38" s="47" t="s">
        <v>200</v>
      </c>
      <c r="P38" s="4" t="s">
        <v>30</v>
      </c>
      <c r="Q38" s="10" t="s">
        <v>24</v>
      </c>
    </row>
    <row r="39" spans="1:17" x14ac:dyDescent="0.25">
      <c r="A39" s="4">
        <v>38</v>
      </c>
      <c r="B39" s="20" t="s">
        <v>202</v>
      </c>
      <c r="C39" s="20" t="s">
        <v>203</v>
      </c>
      <c r="D39" s="20">
        <v>10</v>
      </c>
      <c r="E39" s="20" t="s">
        <v>204</v>
      </c>
      <c r="F39" s="23" t="s">
        <v>205</v>
      </c>
      <c r="G39" s="21">
        <v>0.25</v>
      </c>
      <c r="H39" s="11">
        <f>G39*D39</f>
        <v>2.5</v>
      </c>
      <c r="I39" s="43">
        <f t="shared" si="1"/>
        <v>65475</v>
      </c>
      <c r="J39" s="51"/>
      <c r="K39" s="20"/>
      <c r="L39" s="20"/>
      <c r="M39" s="25" t="s">
        <v>207</v>
      </c>
      <c r="N39" s="20"/>
      <c r="O39" s="48" t="s">
        <v>206</v>
      </c>
      <c r="P39" s="4" t="s">
        <v>30</v>
      </c>
      <c r="Q39" s="10" t="s">
        <v>24</v>
      </c>
    </row>
    <row r="40" spans="1:17" x14ac:dyDescent="0.25">
      <c r="A40" s="4">
        <v>39</v>
      </c>
      <c r="B40" s="26" t="s">
        <v>208</v>
      </c>
      <c r="C40" s="26" t="s">
        <v>209</v>
      </c>
      <c r="D40" s="26">
        <v>10</v>
      </c>
      <c r="E40" s="26" t="s">
        <v>210</v>
      </c>
      <c r="F40" s="39" t="s">
        <v>211</v>
      </c>
      <c r="G40" s="27">
        <v>0.42199999999999999</v>
      </c>
      <c r="H40" s="11">
        <f>G40*D40</f>
        <v>4.22</v>
      </c>
      <c r="I40" s="44">
        <f t="shared" si="1"/>
        <v>110521.79999999999</v>
      </c>
      <c r="J40" s="51"/>
      <c r="K40" s="20"/>
      <c r="L40" s="20"/>
      <c r="M40" s="25"/>
      <c r="N40" s="20"/>
      <c r="O40" s="48" t="s">
        <v>206</v>
      </c>
      <c r="P40" s="40" t="s">
        <v>212</v>
      </c>
      <c r="Q40" s="10" t="s">
        <v>24</v>
      </c>
    </row>
    <row r="41" spans="1:17" x14ac:dyDescent="0.25">
      <c r="A41" s="4">
        <v>40</v>
      </c>
      <c r="B41" s="16" t="s">
        <v>213</v>
      </c>
      <c r="C41" s="16" t="s">
        <v>214</v>
      </c>
      <c r="D41" s="16">
        <v>10</v>
      </c>
      <c r="E41" s="16" t="s">
        <v>215</v>
      </c>
      <c r="F41" s="18" t="s">
        <v>216</v>
      </c>
      <c r="G41" s="17">
        <v>0.34599999999999997</v>
      </c>
      <c r="H41" s="11">
        <f>G41*D41</f>
        <v>3.46</v>
      </c>
      <c r="I41" s="45">
        <f>H41*26190</f>
        <v>90617.4</v>
      </c>
      <c r="J41" s="52"/>
      <c r="K41" s="14"/>
      <c r="L41" s="14"/>
      <c r="M41" s="57"/>
      <c r="N41" s="14"/>
      <c r="O41" s="48" t="s">
        <v>206</v>
      </c>
      <c r="P41" s="4" t="s">
        <v>30</v>
      </c>
      <c r="Q41" s="10" t="s">
        <v>24</v>
      </c>
    </row>
    <row r="42" spans="1:17" x14ac:dyDescent="0.25">
      <c r="A42" s="4">
        <v>41</v>
      </c>
      <c r="B42" s="16" t="s">
        <v>217</v>
      </c>
      <c r="C42" s="16" t="s">
        <v>218</v>
      </c>
      <c r="D42" s="16">
        <v>10</v>
      </c>
      <c r="E42" s="16" t="s">
        <v>219</v>
      </c>
      <c r="F42" s="18" t="s">
        <v>220</v>
      </c>
      <c r="G42" s="17">
        <v>1</v>
      </c>
      <c r="H42" s="11">
        <f>G42*D42</f>
        <v>10</v>
      </c>
      <c r="I42" s="45">
        <f t="shared" ref="I42:I79" si="2">H42*26190</f>
        <v>261900</v>
      </c>
      <c r="J42" s="52" t="s">
        <v>354</v>
      </c>
      <c r="K42" s="52" t="s">
        <v>105</v>
      </c>
      <c r="L42" s="53"/>
      <c r="M42" s="37" t="s">
        <v>221</v>
      </c>
      <c r="N42" s="61"/>
      <c r="O42" s="49" t="s">
        <v>103</v>
      </c>
      <c r="P42" s="4" t="s">
        <v>30</v>
      </c>
      <c r="Q42" s="10" t="s">
        <v>24</v>
      </c>
    </row>
    <row r="43" spans="1:17" x14ac:dyDescent="0.25">
      <c r="A43" s="4">
        <v>42</v>
      </c>
      <c r="B43" s="16" t="s">
        <v>222</v>
      </c>
      <c r="C43" s="16" t="s">
        <v>107</v>
      </c>
      <c r="D43" s="16">
        <v>30</v>
      </c>
      <c r="E43" s="16" t="s">
        <v>223</v>
      </c>
      <c r="F43" s="18" t="s">
        <v>224</v>
      </c>
      <c r="G43" s="17">
        <v>0.14000000000000001</v>
      </c>
      <c r="H43" s="11">
        <f>G43*D43</f>
        <v>4.2</v>
      </c>
      <c r="I43" s="45">
        <f t="shared" si="2"/>
        <v>109998</v>
      </c>
      <c r="J43" s="52" t="s">
        <v>110</v>
      </c>
      <c r="K43" s="52" t="s">
        <v>105</v>
      </c>
      <c r="L43" s="53"/>
      <c r="M43" s="37" t="s">
        <v>119</v>
      </c>
      <c r="N43" s="61"/>
      <c r="O43" s="49" t="s">
        <v>103</v>
      </c>
      <c r="P43" s="4" t="s">
        <v>30</v>
      </c>
      <c r="Q43" s="10" t="s">
        <v>24</v>
      </c>
    </row>
    <row r="44" spans="1:17" x14ac:dyDescent="0.25">
      <c r="A44" s="4">
        <v>43</v>
      </c>
      <c r="B44" s="16" t="s">
        <v>225</v>
      </c>
      <c r="C44" s="16" t="s">
        <v>226</v>
      </c>
      <c r="D44" s="16">
        <v>4</v>
      </c>
      <c r="E44" s="16" t="s">
        <v>227</v>
      </c>
      <c r="F44" s="18" t="s">
        <v>228</v>
      </c>
      <c r="G44" s="17">
        <v>10.75</v>
      </c>
      <c r="H44" s="11">
        <f>G44*D44</f>
        <v>43</v>
      </c>
      <c r="I44" s="45">
        <f t="shared" si="2"/>
        <v>1126170</v>
      </c>
      <c r="J44" s="52"/>
      <c r="K44" s="8" t="s">
        <v>22</v>
      </c>
      <c r="L44" s="52" t="s">
        <v>21</v>
      </c>
      <c r="M44" s="57"/>
      <c r="N44" s="14"/>
      <c r="O44" s="48" t="s">
        <v>20</v>
      </c>
      <c r="P44" s="4" t="s">
        <v>30</v>
      </c>
      <c r="Q44" s="10" t="s">
        <v>24</v>
      </c>
    </row>
    <row r="45" spans="1:17" x14ac:dyDescent="0.25">
      <c r="A45" s="4">
        <v>44</v>
      </c>
      <c r="B45" s="16" t="s">
        <v>229</v>
      </c>
      <c r="C45" s="16" t="s">
        <v>230</v>
      </c>
      <c r="D45" s="16">
        <v>30</v>
      </c>
      <c r="E45" s="16" t="s">
        <v>231</v>
      </c>
      <c r="F45" s="18" t="s">
        <v>232</v>
      </c>
      <c r="G45" s="17">
        <v>0.47599999999999998</v>
      </c>
      <c r="H45" s="11">
        <f>G45*D45</f>
        <v>14.28</v>
      </c>
      <c r="I45" s="45">
        <f t="shared" si="2"/>
        <v>373993.2</v>
      </c>
      <c r="J45" s="52"/>
      <c r="K45" s="52"/>
      <c r="L45" s="52"/>
      <c r="M45" s="57"/>
      <c r="N45" s="14"/>
      <c r="O45" s="48" t="s">
        <v>206</v>
      </c>
      <c r="P45" s="4" t="s">
        <v>30</v>
      </c>
      <c r="Q45" s="10" t="s">
        <v>24</v>
      </c>
    </row>
    <row r="46" spans="1:17" hidden="1" x14ac:dyDescent="0.25">
      <c r="A46" s="4">
        <v>45</v>
      </c>
      <c r="B46" s="16" t="s">
        <v>233</v>
      </c>
      <c r="C46" s="16" t="s">
        <v>234</v>
      </c>
      <c r="D46" s="16">
        <v>30</v>
      </c>
      <c r="E46" s="16" t="s">
        <v>235</v>
      </c>
      <c r="F46" s="18" t="s">
        <v>236</v>
      </c>
      <c r="G46" s="17">
        <v>0.24</v>
      </c>
      <c r="H46" s="11">
        <f>G46*D46</f>
        <v>7.1999999999999993</v>
      </c>
      <c r="I46" s="45">
        <f t="shared" si="2"/>
        <v>188567.99999999997</v>
      </c>
      <c r="J46" s="52">
        <v>604</v>
      </c>
      <c r="K46" s="52" t="s">
        <v>50</v>
      </c>
      <c r="L46" s="52"/>
      <c r="M46" s="36" t="s">
        <v>51</v>
      </c>
      <c r="N46" s="61"/>
      <c r="O46" s="48" t="s">
        <v>49</v>
      </c>
      <c r="P46" s="4" t="s">
        <v>30</v>
      </c>
      <c r="Q46" s="10" t="s">
        <v>24</v>
      </c>
    </row>
    <row r="47" spans="1:17" hidden="1" x14ac:dyDescent="0.25">
      <c r="A47" s="4">
        <v>46</v>
      </c>
      <c r="B47" s="16" t="s">
        <v>237</v>
      </c>
      <c r="C47" s="16" t="s">
        <v>238</v>
      </c>
      <c r="D47" s="16">
        <v>30</v>
      </c>
      <c r="E47" s="16" t="s">
        <v>239</v>
      </c>
      <c r="F47" s="18" t="s">
        <v>240</v>
      </c>
      <c r="G47" s="17">
        <v>0.1</v>
      </c>
      <c r="H47" s="11">
        <f>G47*D47</f>
        <v>3</v>
      </c>
      <c r="I47" s="45">
        <f t="shared" si="2"/>
        <v>78570</v>
      </c>
      <c r="J47" s="52" t="s">
        <v>241</v>
      </c>
      <c r="K47" s="52" t="s">
        <v>50</v>
      </c>
      <c r="L47" s="52"/>
      <c r="M47" s="36" t="s">
        <v>51</v>
      </c>
      <c r="N47" s="61"/>
      <c r="O47" s="48" t="s">
        <v>49</v>
      </c>
      <c r="P47" s="4" t="s">
        <v>30</v>
      </c>
      <c r="Q47" s="10" t="s">
        <v>24</v>
      </c>
    </row>
    <row r="48" spans="1:17" hidden="1" x14ac:dyDescent="0.25">
      <c r="A48" s="4">
        <v>47</v>
      </c>
      <c r="B48" s="16" t="s">
        <v>242</v>
      </c>
      <c r="C48" s="16" t="s">
        <v>243</v>
      </c>
      <c r="D48" s="16">
        <v>30</v>
      </c>
      <c r="E48" s="16" t="s">
        <v>244</v>
      </c>
      <c r="F48" s="18" t="s">
        <v>245</v>
      </c>
      <c r="G48" s="17">
        <v>0.1</v>
      </c>
      <c r="H48" s="11">
        <f>G48*D48</f>
        <v>3</v>
      </c>
      <c r="I48" s="45">
        <f t="shared" si="2"/>
        <v>78570</v>
      </c>
      <c r="J48" s="52" t="s">
        <v>246</v>
      </c>
      <c r="K48" s="52" t="s">
        <v>50</v>
      </c>
      <c r="L48" s="52"/>
      <c r="M48" s="36" t="s">
        <v>51</v>
      </c>
      <c r="N48" s="61"/>
      <c r="O48" s="48" t="s">
        <v>49</v>
      </c>
      <c r="P48" s="4" t="s">
        <v>30</v>
      </c>
      <c r="Q48" s="10" t="s">
        <v>24</v>
      </c>
    </row>
    <row r="49" spans="1:17" x14ac:dyDescent="0.25">
      <c r="A49" s="4">
        <v>48</v>
      </c>
      <c r="B49" s="16" t="s">
        <v>247</v>
      </c>
      <c r="C49" s="16" t="s">
        <v>248</v>
      </c>
      <c r="D49" s="16">
        <v>30</v>
      </c>
      <c r="E49" s="16" t="s">
        <v>249</v>
      </c>
      <c r="F49" s="18" t="s">
        <v>250</v>
      </c>
      <c r="G49" s="17">
        <v>0.12</v>
      </c>
      <c r="H49" s="11">
        <f>G49*D49</f>
        <v>3.5999999999999996</v>
      </c>
      <c r="I49" s="45">
        <f t="shared" si="2"/>
        <v>94283.999999999985</v>
      </c>
      <c r="J49" s="52" t="s">
        <v>318</v>
      </c>
      <c r="K49" s="52" t="s">
        <v>105</v>
      </c>
      <c r="L49" s="53"/>
      <c r="M49" s="37" t="s">
        <v>124</v>
      </c>
      <c r="N49" s="61"/>
      <c r="O49" s="49" t="s">
        <v>103</v>
      </c>
      <c r="P49" s="4" t="s">
        <v>30</v>
      </c>
      <c r="Q49" s="10" t="s">
        <v>24</v>
      </c>
    </row>
    <row r="50" spans="1:17" hidden="1" x14ac:dyDescent="0.25">
      <c r="A50" s="4">
        <v>49</v>
      </c>
      <c r="B50" s="16" t="s">
        <v>251</v>
      </c>
      <c r="C50" s="16" t="s">
        <v>252</v>
      </c>
      <c r="D50" s="16">
        <v>30</v>
      </c>
      <c r="E50" s="16" t="s">
        <v>253</v>
      </c>
      <c r="F50" s="18" t="s">
        <v>254</v>
      </c>
      <c r="G50" s="17">
        <v>0.1</v>
      </c>
      <c r="H50" s="11">
        <f>G50*D50</f>
        <v>3</v>
      </c>
      <c r="I50" s="45">
        <f t="shared" si="2"/>
        <v>78570</v>
      </c>
      <c r="J50" s="52" t="s">
        <v>255</v>
      </c>
      <c r="K50" s="52" t="s">
        <v>50</v>
      </c>
      <c r="L50" s="52"/>
      <c r="M50" s="36" t="s">
        <v>51</v>
      </c>
      <c r="N50" s="61"/>
      <c r="O50" s="48" t="s">
        <v>49</v>
      </c>
      <c r="P50" s="4" t="s">
        <v>30</v>
      </c>
      <c r="Q50" s="10" t="s">
        <v>24</v>
      </c>
    </row>
    <row r="51" spans="1:17" x14ac:dyDescent="0.25">
      <c r="A51" s="4">
        <v>50</v>
      </c>
      <c r="B51" s="16" t="s">
        <v>256</v>
      </c>
      <c r="C51" s="16" t="s">
        <v>257</v>
      </c>
      <c r="D51" s="16">
        <v>30</v>
      </c>
      <c r="E51" s="16" t="s">
        <v>258</v>
      </c>
      <c r="F51" s="18" t="s">
        <v>259</v>
      </c>
      <c r="G51" s="17">
        <v>0.13</v>
      </c>
      <c r="H51" s="11">
        <f>G51*D51</f>
        <v>3.9000000000000004</v>
      </c>
      <c r="I51" s="45">
        <f t="shared" si="2"/>
        <v>102141.00000000001</v>
      </c>
      <c r="J51" s="52" t="s">
        <v>260</v>
      </c>
      <c r="K51" s="52" t="s">
        <v>105</v>
      </c>
      <c r="L51" s="53"/>
      <c r="M51" s="36" t="s">
        <v>51</v>
      </c>
      <c r="N51" s="61"/>
      <c r="O51" s="49" t="s">
        <v>103</v>
      </c>
      <c r="P51" s="4" t="s">
        <v>30</v>
      </c>
      <c r="Q51" s="77" t="s">
        <v>24</v>
      </c>
    </row>
    <row r="52" spans="1:17" hidden="1" x14ac:dyDescent="0.25">
      <c r="A52" s="4">
        <v>51</v>
      </c>
      <c r="B52" s="16" t="s">
        <v>261</v>
      </c>
      <c r="C52" s="16" t="s">
        <v>262</v>
      </c>
      <c r="D52" s="16">
        <v>30</v>
      </c>
      <c r="E52" s="16" t="s">
        <v>263</v>
      </c>
      <c r="F52" s="18" t="s">
        <v>264</v>
      </c>
      <c r="G52" s="17">
        <v>0.1</v>
      </c>
      <c r="H52" s="11">
        <f>G52*D52</f>
        <v>3</v>
      </c>
      <c r="I52" s="45">
        <f t="shared" si="2"/>
        <v>78570</v>
      </c>
      <c r="J52" s="52" t="s">
        <v>265</v>
      </c>
      <c r="K52" s="52" t="s">
        <v>50</v>
      </c>
      <c r="L52" s="52"/>
      <c r="M52" s="36" t="s">
        <v>51</v>
      </c>
      <c r="N52" s="61"/>
      <c r="O52" s="48" t="s">
        <v>49</v>
      </c>
      <c r="P52" s="4" t="s">
        <v>30</v>
      </c>
      <c r="Q52" s="78" t="s">
        <v>24</v>
      </c>
    </row>
    <row r="53" spans="1:17" x14ac:dyDescent="0.25">
      <c r="A53" s="4">
        <v>52</v>
      </c>
      <c r="B53" s="16" t="s">
        <v>266</v>
      </c>
      <c r="C53" s="16" t="s">
        <v>267</v>
      </c>
      <c r="D53" s="16">
        <v>30</v>
      </c>
      <c r="E53" s="16" t="s">
        <v>268</v>
      </c>
      <c r="F53" s="18" t="s">
        <v>269</v>
      </c>
      <c r="G53" s="17">
        <v>0.15</v>
      </c>
      <c r="H53" s="11">
        <f>G53*D53</f>
        <v>4.5</v>
      </c>
      <c r="I53" s="45">
        <f t="shared" si="2"/>
        <v>117855</v>
      </c>
      <c r="J53" s="52" t="s">
        <v>270</v>
      </c>
      <c r="K53" s="52" t="s">
        <v>105</v>
      </c>
      <c r="L53" s="53"/>
      <c r="M53" s="36" t="s">
        <v>51</v>
      </c>
      <c r="N53" s="61"/>
      <c r="O53" s="49" t="s">
        <v>103</v>
      </c>
      <c r="P53" s="4" t="s">
        <v>30</v>
      </c>
      <c r="Q53" s="78" t="s">
        <v>24</v>
      </c>
    </row>
    <row r="54" spans="1:17" x14ac:dyDescent="0.25">
      <c r="A54" s="4">
        <v>53</v>
      </c>
      <c r="B54" s="28" t="s">
        <v>271</v>
      </c>
      <c r="C54" s="28" t="s">
        <v>272</v>
      </c>
      <c r="D54" s="28">
        <v>30</v>
      </c>
      <c r="E54" s="28" t="s">
        <v>273</v>
      </c>
      <c r="F54" s="30" t="s">
        <v>274</v>
      </c>
      <c r="G54" s="29">
        <v>0.08</v>
      </c>
      <c r="H54" s="11">
        <f>G54*D54</f>
        <v>2.4</v>
      </c>
      <c r="I54" s="46">
        <f t="shared" si="2"/>
        <v>62856</v>
      </c>
      <c r="J54" s="52" t="s">
        <v>275</v>
      </c>
      <c r="K54" s="52" t="s">
        <v>105</v>
      </c>
      <c r="L54" s="53"/>
      <c r="M54" s="36" t="s">
        <v>51</v>
      </c>
      <c r="N54" s="61"/>
      <c r="O54" s="49" t="s">
        <v>103</v>
      </c>
      <c r="P54" s="4" t="s">
        <v>30</v>
      </c>
      <c r="Q54" s="78" t="s">
        <v>24</v>
      </c>
    </row>
    <row r="55" spans="1:17" x14ac:dyDescent="0.25">
      <c r="A55" s="4">
        <v>54</v>
      </c>
      <c r="B55" s="16" t="s">
        <v>276</v>
      </c>
      <c r="C55" s="16" t="s">
        <v>277</v>
      </c>
      <c r="D55" s="16">
        <v>4</v>
      </c>
      <c r="E55" s="16" t="s">
        <v>278</v>
      </c>
      <c r="F55" s="18" t="s">
        <v>279</v>
      </c>
      <c r="G55" s="17">
        <v>4.05</v>
      </c>
      <c r="H55" s="11">
        <f>G55*D55</f>
        <v>16.2</v>
      </c>
      <c r="I55" s="45">
        <f t="shared" si="2"/>
        <v>424278</v>
      </c>
      <c r="J55" s="52" t="s">
        <v>21</v>
      </c>
      <c r="K55" s="8" t="s">
        <v>22</v>
      </c>
      <c r="L55" s="52" t="s">
        <v>21</v>
      </c>
      <c r="M55" s="57"/>
      <c r="N55" s="14"/>
      <c r="O55" s="48" t="s">
        <v>20</v>
      </c>
      <c r="P55" s="4" t="s">
        <v>30</v>
      </c>
      <c r="Q55" s="80" t="s">
        <v>24</v>
      </c>
    </row>
    <row r="56" spans="1:17" x14ac:dyDescent="0.25">
      <c r="A56" s="4">
        <v>55</v>
      </c>
      <c r="B56" s="16" t="s">
        <v>280</v>
      </c>
      <c r="C56" s="16" t="s">
        <v>281</v>
      </c>
      <c r="D56" s="16">
        <v>4</v>
      </c>
      <c r="E56" s="16" t="s">
        <v>282</v>
      </c>
      <c r="F56" s="18" t="s">
        <v>283</v>
      </c>
      <c r="G56" s="17">
        <v>5.05</v>
      </c>
      <c r="H56" s="11">
        <f>G56*D56</f>
        <v>20.2</v>
      </c>
      <c r="I56" s="45">
        <f t="shared" si="2"/>
        <v>529038</v>
      </c>
      <c r="J56" s="52" t="s">
        <v>21</v>
      </c>
      <c r="K56" s="8" t="s">
        <v>22</v>
      </c>
      <c r="L56" s="52" t="s">
        <v>21</v>
      </c>
      <c r="M56" s="57"/>
      <c r="N56" s="14"/>
      <c r="O56" s="48" t="s">
        <v>20</v>
      </c>
      <c r="P56" s="4" t="s">
        <v>30</v>
      </c>
      <c r="Q56" s="10" t="s">
        <v>24</v>
      </c>
    </row>
    <row r="57" spans="1:17" x14ac:dyDescent="0.25">
      <c r="A57" s="4">
        <v>56</v>
      </c>
      <c r="B57" s="16" t="s">
        <v>284</v>
      </c>
      <c r="C57" s="16" t="s">
        <v>285</v>
      </c>
      <c r="D57" s="16">
        <v>10</v>
      </c>
      <c r="E57" s="16" t="s">
        <v>286</v>
      </c>
      <c r="F57" s="18" t="s">
        <v>287</v>
      </c>
      <c r="G57" s="17">
        <v>0.32</v>
      </c>
      <c r="H57" s="11">
        <f>G57*D57</f>
        <v>3.2</v>
      </c>
      <c r="I57" s="45">
        <f t="shared" si="2"/>
        <v>83808</v>
      </c>
      <c r="J57" s="52" t="s">
        <v>21</v>
      </c>
      <c r="K57" s="8" t="s">
        <v>22</v>
      </c>
      <c r="L57" s="52" t="s">
        <v>21</v>
      </c>
      <c r="M57" s="57"/>
      <c r="N57" s="14"/>
      <c r="O57" s="48" t="s">
        <v>20</v>
      </c>
      <c r="P57" s="4" t="s">
        <v>30</v>
      </c>
      <c r="Q57" s="10" t="s">
        <v>24</v>
      </c>
    </row>
    <row r="58" spans="1:17" x14ac:dyDescent="0.25">
      <c r="A58" s="4">
        <v>57</v>
      </c>
      <c r="B58" s="16" t="s">
        <v>192</v>
      </c>
      <c r="C58" s="16" t="s">
        <v>193</v>
      </c>
      <c r="D58" s="16">
        <v>10</v>
      </c>
      <c r="E58" s="16" t="s">
        <v>288</v>
      </c>
      <c r="F58" s="18" t="s">
        <v>289</v>
      </c>
      <c r="G58" s="17">
        <v>0.36</v>
      </c>
      <c r="H58" s="11">
        <f>G58*D58</f>
        <v>3.5999999999999996</v>
      </c>
      <c r="I58" s="45">
        <f t="shared" si="2"/>
        <v>94283.999999999985</v>
      </c>
      <c r="J58" s="52" t="s">
        <v>21</v>
      </c>
      <c r="K58" s="8" t="s">
        <v>22</v>
      </c>
      <c r="L58" s="52" t="s">
        <v>21</v>
      </c>
      <c r="M58" s="57"/>
      <c r="N58" s="14"/>
      <c r="O58" s="48" t="s">
        <v>20</v>
      </c>
      <c r="P58" s="4" t="s">
        <v>30</v>
      </c>
      <c r="Q58" s="10" t="s">
        <v>24</v>
      </c>
    </row>
    <row r="59" spans="1:17" hidden="1" x14ac:dyDescent="0.25">
      <c r="A59" s="4">
        <v>58</v>
      </c>
      <c r="B59" s="16" t="s">
        <v>290</v>
      </c>
      <c r="C59" s="16" t="s">
        <v>291</v>
      </c>
      <c r="D59" s="16">
        <v>25</v>
      </c>
      <c r="E59" s="16" t="s">
        <v>292</v>
      </c>
      <c r="F59" s="18" t="s">
        <v>293</v>
      </c>
      <c r="G59" s="17">
        <v>0.1</v>
      </c>
      <c r="H59" s="11">
        <f>G59*D59</f>
        <v>2.5</v>
      </c>
      <c r="I59" s="45">
        <f t="shared" si="2"/>
        <v>65475</v>
      </c>
      <c r="J59" s="52">
        <v>600</v>
      </c>
      <c r="K59" s="14" t="s">
        <v>50</v>
      </c>
      <c r="L59" s="14"/>
      <c r="M59" s="36" t="s">
        <v>51</v>
      </c>
      <c r="N59" s="61"/>
      <c r="O59" s="48" t="s">
        <v>294</v>
      </c>
      <c r="P59" s="4" t="s">
        <v>30</v>
      </c>
      <c r="Q59" s="77" t="s">
        <v>24</v>
      </c>
    </row>
    <row r="60" spans="1:17" x14ac:dyDescent="0.25">
      <c r="A60" s="4">
        <v>59</v>
      </c>
      <c r="B60" s="16" t="s">
        <v>295</v>
      </c>
      <c r="C60" s="16" t="s">
        <v>296</v>
      </c>
      <c r="D60" s="16">
        <v>30</v>
      </c>
      <c r="E60" s="16" t="s">
        <v>297</v>
      </c>
      <c r="F60" s="18" t="s">
        <v>298</v>
      </c>
      <c r="G60" s="17">
        <v>0.11</v>
      </c>
      <c r="H60" s="11">
        <f>G60*D60</f>
        <v>3.3</v>
      </c>
      <c r="I60" s="45">
        <f t="shared" si="2"/>
        <v>86427</v>
      </c>
      <c r="J60" s="52" t="s">
        <v>299</v>
      </c>
      <c r="K60" s="52" t="s">
        <v>105</v>
      </c>
      <c r="L60" s="53"/>
      <c r="M60" s="36" t="s">
        <v>51</v>
      </c>
      <c r="N60" s="61"/>
      <c r="O60" s="48" t="s">
        <v>103</v>
      </c>
      <c r="P60" s="4" t="s">
        <v>30</v>
      </c>
      <c r="Q60" s="78" t="s">
        <v>24</v>
      </c>
    </row>
    <row r="61" spans="1:17" hidden="1" x14ac:dyDescent="0.25">
      <c r="A61" s="4">
        <v>60</v>
      </c>
      <c r="B61" s="16" t="s">
        <v>300</v>
      </c>
      <c r="C61" s="16" t="s">
        <v>301</v>
      </c>
      <c r="D61" s="16">
        <v>25</v>
      </c>
      <c r="E61" s="16" t="s">
        <v>302</v>
      </c>
      <c r="F61" s="18" t="s">
        <v>303</v>
      </c>
      <c r="G61" s="17">
        <v>0.1</v>
      </c>
      <c r="H61" s="11">
        <f>G61*D61</f>
        <v>2.5</v>
      </c>
      <c r="I61" s="45">
        <f t="shared" si="2"/>
        <v>65475</v>
      </c>
      <c r="J61" s="52" t="s">
        <v>304</v>
      </c>
      <c r="K61" s="52" t="s">
        <v>50</v>
      </c>
      <c r="L61" s="14"/>
      <c r="M61" s="36" t="s">
        <v>51</v>
      </c>
      <c r="N61" s="61"/>
      <c r="O61" s="48" t="s">
        <v>49</v>
      </c>
      <c r="P61" s="4" t="s">
        <v>30</v>
      </c>
      <c r="Q61" s="78" t="s">
        <v>24</v>
      </c>
    </row>
    <row r="62" spans="1:17" x14ac:dyDescent="0.25">
      <c r="A62" s="4">
        <v>61</v>
      </c>
      <c r="B62" s="16" t="s">
        <v>305</v>
      </c>
      <c r="C62" s="16" t="s">
        <v>306</v>
      </c>
      <c r="D62" s="16">
        <v>25</v>
      </c>
      <c r="E62" s="16" t="s">
        <v>307</v>
      </c>
      <c r="F62" s="18" t="s">
        <v>308</v>
      </c>
      <c r="G62" s="17">
        <v>0.34</v>
      </c>
      <c r="H62" s="11">
        <f>G62*D62</f>
        <v>8.5</v>
      </c>
      <c r="I62" s="45">
        <f t="shared" si="2"/>
        <v>222615</v>
      </c>
      <c r="J62" s="52" t="s">
        <v>349</v>
      </c>
      <c r="K62" s="52" t="s">
        <v>105</v>
      </c>
      <c r="L62" s="53"/>
      <c r="M62" s="37" t="s">
        <v>119</v>
      </c>
      <c r="N62" s="61"/>
      <c r="O62" s="48" t="s">
        <v>103</v>
      </c>
      <c r="P62" s="4" t="s">
        <v>30</v>
      </c>
      <c r="Q62" s="78" t="s">
        <v>24</v>
      </c>
    </row>
    <row r="63" spans="1:17" x14ac:dyDescent="0.25">
      <c r="A63" s="4">
        <v>62</v>
      </c>
      <c r="B63" s="28" t="s">
        <v>309</v>
      </c>
      <c r="C63" s="16" t="s">
        <v>310</v>
      </c>
      <c r="D63" s="16">
        <v>25</v>
      </c>
      <c r="E63" s="28" t="s">
        <v>311</v>
      </c>
      <c r="F63" s="18" t="s">
        <v>312</v>
      </c>
      <c r="G63" s="17">
        <v>0.1</v>
      </c>
      <c r="H63" s="11">
        <f>G63*D63</f>
        <v>2.5</v>
      </c>
      <c r="I63" s="45">
        <f t="shared" si="2"/>
        <v>65475</v>
      </c>
      <c r="J63" s="52" t="s">
        <v>313</v>
      </c>
      <c r="K63" s="52" t="s">
        <v>105</v>
      </c>
      <c r="L63" s="53"/>
      <c r="M63" s="36" t="s">
        <v>51</v>
      </c>
      <c r="N63" s="61"/>
      <c r="O63" s="48" t="s">
        <v>103</v>
      </c>
      <c r="P63" s="4" t="s">
        <v>30</v>
      </c>
      <c r="Q63" s="81" t="s">
        <v>24</v>
      </c>
    </row>
    <row r="64" spans="1:17" hidden="1" x14ac:dyDescent="0.25">
      <c r="A64" s="63"/>
      <c r="B64" s="4" t="s">
        <v>319</v>
      </c>
      <c r="C64" t="s">
        <v>320</v>
      </c>
      <c r="D64" s="65">
        <v>25</v>
      </c>
      <c r="E64" s="14" t="s">
        <v>321</v>
      </c>
      <c r="F64" s="41" t="s">
        <v>325</v>
      </c>
      <c r="G64" s="17">
        <v>1.1759999999999999</v>
      </c>
      <c r="H64" s="11">
        <f>G64*D64</f>
        <v>29.4</v>
      </c>
      <c r="I64" s="45">
        <f t="shared" si="2"/>
        <v>769986</v>
      </c>
      <c r="J64" s="50">
        <v>49.9</v>
      </c>
      <c r="K64" s="52" t="s">
        <v>50</v>
      </c>
      <c r="L64" s="67">
        <v>1E-4</v>
      </c>
      <c r="M64" s="36" t="s">
        <v>51</v>
      </c>
      <c r="N64" s="14" t="s">
        <v>323</v>
      </c>
      <c r="O64" s="48" t="s">
        <v>49</v>
      </c>
      <c r="P64" s="4" t="s">
        <v>19</v>
      </c>
      <c r="Q64" s="81" t="s">
        <v>24</v>
      </c>
    </row>
    <row r="65" spans="1:18" ht="16.5" hidden="1" customHeight="1" x14ac:dyDescent="0.25">
      <c r="A65" s="16"/>
      <c r="B65" s="64" t="s">
        <v>326</v>
      </c>
      <c r="C65" s="16" t="s">
        <v>327</v>
      </c>
      <c r="D65" s="16">
        <v>25</v>
      </c>
      <c r="E65" s="64" t="s">
        <v>328</v>
      </c>
      <c r="F65" s="18" t="s">
        <v>330</v>
      </c>
      <c r="G65" s="17">
        <v>1.1759999999999999</v>
      </c>
      <c r="H65" s="11">
        <f>G65*D65</f>
        <v>29.4</v>
      </c>
      <c r="I65" s="45">
        <f t="shared" si="2"/>
        <v>769986</v>
      </c>
      <c r="J65" s="19" t="s">
        <v>329</v>
      </c>
      <c r="K65" s="52" t="s">
        <v>50</v>
      </c>
      <c r="L65" s="69">
        <v>1E-4</v>
      </c>
      <c r="M65" s="36" t="s">
        <v>51</v>
      </c>
      <c r="N65" s="14" t="s">
        <v>323</v>
      </c>
      <c r="O65" s="48" t="s">
        <v>49</v>
      </c>
      <c r="P65" s="4" t="s">
        <v>19</v>
      </c>
      <c r="Q65" s="81" t="s">
        <v>24</v>
      </c>
    </row>
    <row r="66" spans="1:18" ht="17.25" hidden="1" customHeight="1" x14ac:dyDescent="0.25">
      <c r="A66" s="15"/>
      <c r="B66" s="16" t="s">
        <v>331</v>
      </c>
      <c r="C66" s="16" t="s">
        <v>332</v>
      </c>
      <c r="D66" s="16">
        <v>25</v>
      </c>
      <c r="E66" s="16" t="s">
        <v>333</v>
      </c>
      <c r="F66" s="18" t="s">
        <v>334</v>
      </c>
      <c r="G66" s="17">
        <v>1.1759999999999999</v>
      </c>
      <c r="H66" s="11">
        <f t="shared" ref="H66:H79" si="3">G66*D66</f>
        <v>29.4</v>
      </c>
      <c r="I66" s="45">
        <f t="shared" si="2"/>
        <v>769986</v>
      </c>
      <c r="J66" s="19">
        <v>499</v>
      </c>
      <c r="K66" s="52" t="s">
        <v>50</v>
      </c>
      <c r="L66" s="69">
        <v>1E-4</v>
      </c>
      <c r="M66" s="36" t="s">
        <v>51</v>
      </c>
      <c r="N66" s="14" t="s">
        <v>323</v>
      </c>
      <c r="O66" s="48" t="s">
        <v>49</v>
      </c>
      <c r="P66" s="4" t="s">
        <v>19</v>
      </c>
      <c r="Q66" s="81" t="s">
        <v>24</v>
      </c>
    </row>
    <row r="67" spans="1:18" ht="17.25" hidden="1" customHeight="1" x14ac:dyDescent="0.25">
      <c r="A67" s="15"/>
      <c r="B67" s="16" t="s">
        <v>335</v>
      </c>
      <c r="C67" s="16" t="s">
        <v>336</v>
      </c>
      <c r="D67" s="16">
        <v>25</v>
      </c>
      <c r="E67" s="16" t="s">
        <v>337</v>
      </c>
      <c r="F67" s="18" t="s">
        <v>338</v>
      </c>
      <c r="G67" s="17">
        <v>0.48159999999999997</v>
      </c>
      <c r="H67" s="11">
        <f t="shared" si="3"/>
        <v>12.04</v>
      </c>
      <c r="I67" s="45">
        <f t="shared" si="2"/>
        <v>315327.59999999998</v>
      </c>
      <c r="J67" s="42">
        <v>51</v>
      </c>
      <c r="K67" s="73" t="s">
        <v>50</v>
      </c>
      <c r="L67" s="69">
        <v>5.0000000000000001E-4</v>
      </c>
      <c r="M67" s="54" t="s">
        <v>124</v>
      </c>
      <c r="N67" s="66" t="s">
        <v>339</v>
      </c>
      <c r="O67" s="48" t="s">
        <v>49</v>
      </c>
      <c r="P67" s="4" t="s">
        <v>19</v>
      </c>
      <c r="Q67" s="81" t="s">
        <v>24</v>
      </c>
    </row>
    <row r="68" spans="1:18" ht="17.25" hidden="1" customHeight="1" x14ac:dyDescent="0.25">
      <c r="A68" s="15"/>
      <c r="B68" s="16" t="s">
        <v>340</v>
      </c>
      <c r="C68" s="16" t="s">
        <v>341</v>
      </c>
      <c r="D68" s="16">
        <v>10</v>
      </c>
      <c r="E68" s="16" t="s">
        <v>342</v>
      </c>
      <c r="F68" s="18" t="s">
        <v>343</v>
      </c>
      <c r="G68" s="17">
        <v>2.7189999999999999</v>
      </c>
      <c r="H68" s="11">
        <f t="shared" si="3"/>
        <v>27.189999999999998</v>
      </c>
      <c r="I68" s="45">
        <f t="shared" si="2"/>
        <v>712106.1</v>
      </c>
      <c r="J68" s="52" t="s">
        <v>314</v>
      </c>
      <c r="K68" s="73" t="s">
        <v>50</v>
      </c>
      <c r="L68" s="69">
        <v>1E-4</v>
      </c>
      <c r="M68" s="54" t="s">
        <v>124</v>
      </c>
      <c r="N68" s="14" t="s">
        <v>323</v>
      </c>
      <c r="O68" s="14" t="s">
        <v>49</v>
      </c>
      <c r="P68" s="4" t="s">
        <v>19</v>
      </c>
      <c r="Q68" s="81" t="s">
        <v>24</v>
      </c>
    </row>
    <row r="69" spans="1:18" x14ac:dyDescent="0.25">
      <c r="A69" s="28"/>
      <c r="B69" s="28" t="s">
        <v>345</v>
      </c>
      <c r="C69" s="28" t="s">
        <v>346</v>
      </c>
      <c r="D69" s="28">
        <v>25</v>
      </c>
      <c r="E69" s="28" t="s">
        <v>347</v>
      </c>
      <c r="F69" s="71" t="s">
        <v>348</v>
      </c>
      <c r="G69" s="29">
        <v>0.50700000000000001</v>
      </c>
      <c r="H69" s="72">
        <f t="shared" si="3"/>
        <v>12.675000000000001</v>
      </c>
      <c r="I69" s="46">
        <f t="shared" si="2"/>
        <v>331958.25</v>
      </c>
      <c r="J69" s="73" t="s">
        <v>344</v>
      </c>
      <c r="K69" s="73" t="s">
        <v>105</v>
      </c>
      <c r="L69" s="74">
        <v>0.01</v>
      </c>
      <c r="M69" s="75" t="s">
        <v>51</v>
      </c>
      <c r="N69" s="66"/>
      <c r="O69" s="68" t="s">
        <v>103</v>
      </c>
      <c r="P69" s="76" t="s">
        <v>19</v>
      </c>
      <c r="Q69" s="81" t="s">
        <v>24</v>
      </c>
    </row>
    <row r="70" spans="1:18" s="4" customFormat="1" x14ac:dyDescent="0.25">
      <c r="A70" s="14"/>
      <c r="B70" s="14" t="s">
        <v>350</v>
      </c>
      <c r="C70" s="14" t="s">
        <v>351</v>
      </c>
      <c r="D70" s="14">
        <v>50</v>
      </c>
      <c r="E70" s="14" t="s">
        <v>108</v>
      </c>
      <c r="F70" s="13" t="s">
        <v>352</v>
      </c>
      <c r="G70" s="21">
        <v>3.5000000000000003E-2</v>
      </c>
      <c r="H70" s="11">
        <f t="shared" si="3"/>
        <v>1.7500000000000002</v>
      </c>
      <c r="I70" s="22">
        <f t="shared" si="2"/>
        <v>45832.500000000007</v>
      </c>
      <c r="J70" s="52" t="s">
        <v>110</v>
      </c>
      <c r="K70" s="73" t="s">
        <v>105</v>
      </c>
      <c r="L70" s="74">
        <v>0.05</v>
      </c>
      <c r="M70" s="75" t="s">
        <v>51</v>
      </c>
      <c r="N70" s="14"/>
      <c r="O70" s="68" t="s">
        <v>103</v>
      </c>
      <c r="P70" s="76" t="s">
        <v>19</v>
      </c>
      <c r="Q70" s="81" t="s">
        <v>24</v>
      </c>
      <c r="R70" s="59"/>
    </row>
    <row r="71" spans="1:18" s="4" customFormat="1" hidden="1" x14ac:dyDescent="0.25">
      <c r="A71" s="14"/>
      <c r="B71" s="14" t="s">
        <v>356</v>
      </c>
      <c r="C71" s="14" t="s">
        <v>357</v>
      </c>
      <c r="D71" s="14">
        <v>25</v>
      </c>
      <c r="E71" s="14" t="s">
        <v>358</v>
      </c>
      <c r="F71" s="13" t="s">
        <v>359</v>
      </c>
      <c r="G71" s="21">
        <v>0.3412</v>
      </c>
      <c r="H71" s="11">
        <f t="shared" si="3"/>
        <v>8.5299999999999994</v>
      </c>
      <c r="I71" s="22">
        <f t="shared" si="2"/>
        <v>223400.69999999998</v>
      </c>
      <c r="J71" s="52" t="s">
        <v>241</v>
      </c>
      <c r="K71" s="73" t="s">
        <v>50</v>
      </c>
      <c r="L71" s="69">
        <v>5.0000000000000001E-4</v>
      </c>
      <c r="M71" s="36" t="s">
        <v>51</v>
      </c>
      <c r="N71" s="14" t="s">
        <v>323</v>
      </c>
      <c r="O71" s="14" t="s">
        <v>49</v>
      </c>
      <c r="P71" s="4" t="s">
        <v>19</v>
      </c>
      <c r="Q71" s="81" t="s">
        <v>24</v>
      </c>
      <c r="R71" s="59"/>
    </row>
    <row r="72" spans="1:18" s="4" customFormat="1" hidden="1" x14ac:dyDescent="0.25">
      <c r="A72" s="14"/>
      <c r="B72" s="14" t="s">
        <v>360</v>
      </c>
      <c r="C72" s="14" t="s">
        <v>361</v>
      </c>
      <c r="D72" s="14">
        <v>25</v>
      </c>
      <c r="E72" s="14" t="s">
        <v>362</v>
      </c>
      <c r="F72" s="13" t="s">
        <v>363</v>
      </c>
      <c r="G72" s="21">
        <v>0.42080000000000001</v>
      </c>
      <c r="H72" s="11">
        <f t="shared" si="3"/>
        <v>10.52</v>
      </c>
      <c r="I72" s="22">
        <f t="shared" si="2"/>
        <v>275518.8</v>
      </c>
      <c r="J72" s="52" t="s">
        <v>94</v>
      </c>
      <c r="K72" s="73" t="s">
        <v>50</v>
      </c>
      <c r="L72" s="69">
        <v>5.0000000000000001E-4</v>
      </c>
      <c r="M72" s="36" t="s">
        <v>51</v>
      </c>
      <c r="N72" s="14" t="s">
        <v>323</v>
      </c>
      <c r="O72" s="14" t="s">
        <v>49</v>
      </c>
      <c r="P72" s="4" t="s">
        <v>19</v>
      </c>
      <c r="Q72" s="81" t="s">
        <v>24</v>
      </c>
      <c r="R72" s="59"/>
    </row>
    <row r="73" spans="1:18" s="4" customFormat="1" hidden="1" x14ac:dyDescent="0.25">
      <c r="A73" s="14"/>
      <c r="B73" s="14" t="s">
        <v>364</v>
      </c>
      <c r="C73" s="14" t="s">
        <v>365</v>
      </c>
      <c r="D73" s="14">
        <v>25</v>
      </c>
      <c r="E73" s="14" t="s">
        <v>366</v>
      </c>
      <c r="F73" s="13" t="s">
        <v>367</v>
      </c>
      <c r="G73" s="21">
        <v>0.44040000000000001</v>
      </c>
      <c r="H73" s="11">
        <f t="shared" si="3"/>
        <v>11.01</v>
      </c>
      <c r="I73" s="22">
        <f t="shared" si="2"/>
        <v>288351.90000000002</v>
      </c>
      <c r="J73" s="52">
        <v>47</v>
      </c>
      <c r="K73" s="73" t="s">
        <v>50</v>
      </c>
      <c r="L73" s="69">
        <v>5.0000000000000001E-4</v>
      </c>
      <c r="M73" s="36" t="s">
        <v>51</v>
      </c>
      <c r="N73" s="14" t="s">
        <v>323</v>
      </c>
      <c r="O73" s="14" t="s">
        <v>49</v>
      </c>
      <c r="P73" s="4" t="s">
        <v>19</v>
      </c>
      <c r="Q73" s="81" t="s">
        <v>24</v>
      </c>
      <c r="R73" s="59"/>
    </row>
    <row r="74" spans="1:18" s="4" customFormat="1" hidden="1" x14ac:dyDescent="0.25">
      <c r="A74" s="14"/>
      <c r="B74" s="14" t="s">
        <v>368</v>
      </c>
      <c r="C74" s="14" t="s">
        <v>369</v>
      </c>
      <c r="D74" s="14">
        <v>25</v>
      </c>
      <c r="E74" s="14" t="s">
        <v>370</v>
      </c>
      <c r="F74" s="13" t="s">
        <v>371</v>
      </c>
      <c r="G74" s="21">
        <v>0.65</v>
      </c>
      <c r="H74" s="11">
        <f t="shared" si="3"/>
        <v>16.25</v>
      </c>
      <c r="I74" s="22">
        <f t="shared" si="2"/>
        <v>425587.5</v>
      </c>
      <c r="J74" s="52">
        <v>10</v>
      </c>
      <c r="K74" s="73" t="s">
        <v>50</v>
      </c>
      <c r="L74" s="69">
        <v>5.0000000000000001E-4</v>
      </c>
      <c r="M74" s="36" t="s">
        <v>51</v>
      </c>
      <c r="N74" s="14" t="s">
        <v>323</v>
      </c>
      <c r="O74" s="14" t="s">
        <v>49</v>
      </c>
      <c r="P74" s="4" t="s">
        <v>19</v>
      </c>
      <c r="Q74" s="81" t="s">
        <v>24</v>
      </c>
      <c r="R74" s="59"/>
    </row>
    <row r="75" spans="1:18" s="4" customFormat="1" x14ac:dyDescent="0.25">
      <c r="A75" s="14"/>
      <c r="B75" s="14" t="s">
        <v>474</v>
      </c>
      <c r="C75" s="14" t="s">
        <v>475</v>
      </c>
      <c r="D75" s="14">
        <v>25</v>
      </c>
      <c r="E75" s="14" t="s">
        <v>476</v>
      </c>
      <c r="F75" s="13" t="s">
        <v>477</v>
      </c>
      <c r="G75" s="21">
        <v>0.109</v>
      </c>
      <c r="H75" s="11">
        <f t="shared" si="3"/>
        <v>2.7250000000000001</v>
      </c>
      <c r="I75" s="22">
        <f t="shared" si="2"/>
        <v>71367.75</v>
      </c>
      <c r="J75" s="52" t="s">
        <v>355</v>
      </c>
      <c r="K75" s="73" t="s">
        <v>105</v>
      </c>
      <c r="L75" s="70">
        <v>0.05</v>
      </c>
      <c r="M75" s="36" t="s">
        <v>51</v>
      </c>
      <c r="N75" s="14"/>
      <c r="O75" s="14" t="s">
        <v>103</v>
      </c>
      <c r="P75" s="4" t="s">
        <v>19</v>
      </c>
      <c r="Q75" s="81" t="s">
        <v>24</v>
      </c>
      <c r="R75" s="59"/>
    </row>
    <row r="76" spans="1:18" s="4" customFormat="1" x14ac:dyDescent="0.25">
      <c r="A76" s="14"/>
      <c r="B76" s="14" t="s">
        <v>478</v>
      </c>
      <c r="C76" s="14" t="s">
        <v>479</v>
      </c>
      <c r="D76" s="14">
        <v>4</v>
      </c>
      <c r="E76" s="14" t="s">
        <v>480</v>
      </c>
      <c r="F76" s="13" t="s">
        <v>481</v>
      </c>
      <c r="G76" s="21">
        <v>8.01</v>
      </c>
      <c r="H76" s="11">
        <f t="shared" si="3"/>
        <v>32.04</v>
      </c>
      <c r="I76" s="22">
        <f t="shared" si="2"/>
        <v>839127.6</v>
      </c>
      <c r="J76" s="52" t="s">
        <v>21</v>
      </c>
      <c r="K76" s="8" t="s">
        <v>22</v>
      </c>
      <c r="L76" s="52" t="s">
        <v>21</v>
      </c>
      <c r="M76" s="55"/>
      <c r="N76" s="14"/>
      <c r="O76" s="14" t="s">
        <v>20</v>
      </c>
      <c r="P76" s="4" t="s">
        <v>19</v>
      </c>
      <c r="Q76" s="81" t="s">
        <v>24</v>
      </c>
    </row>
    <row r="77" spans="1:18" s="4" customFormat="1" x14ac:dyDescent="0.25">
      <c r="A77" s="14"/>
      <c r="B77" s="14" t="s">
        <v>482</v>
      </c>
      <c r="C77" s="14" t="s">
        <v>483</v>
      </c>
      <c r="D77" s="14">
        <v>4</v>
      </c>
      <c r="E77" s="14" t="s">
        <v>484</v>
      </c>
      <c r="F77" s="13" t="s">
        <v>485</v>
      </c>
      <c r="G77" s="21">
        <v>4.1900000000000004</v>
      </c>
      <c r="H77" s="5">
        <f t="shared" si="3"/>
        <v>16.760000000000002</v>
      </c>
      <c r="I77" s="22">
        <f t="shared" si="2"/>
        <v>438944.4</v>
      </c>
      <c r="J77" s="52" t="s">
        <v>21</v>
      </c>
      <c r="K77" s="8" t="s">
        <v>22</v>
      </c>
      <c r="L77" s="52" t="s">
        <v>21</v>
      </c>
      <c r="M77" s="55"/>
      <c r="N77" s="14"/>
      <c r="O77" s="14" t="s">
        <v>20</v>
      </c>
      <c r="P77" s="4" t="s">
        <v>19</v>
      </c>
      <c r="Q77" s="81" t="s">
        <v>24</v>
      </c>
    </row>
    <row r="78" spans="1:18" s="4" customFormat="1" x14ac:dyDescent="0.25">
      <c r="B78" s="14" t="s">
        <v>486</v>
      </c>
      <c r="C78" s="14" t="s">
        <v>487</v>
      </c>
      <c r="D78" s="14">
        <v>4</v>
      </c>
      <c r="E78" s="14" t="s">
        <v>488</v>
      </c>
      <c r="F78" s="7" t="s">
        <v>489</v>
      </c>
      <c r="G78" s="21">
        <v>2.94</v>
      </c>
      <c r="H78" s="5">
        <f t="shared" si="3"/>
        <v>11.76</v>
      </c>
      <c r="I78" s="6">
        <f t="shared" si="2"/>
        <v>307994.40000000002</v>
      </c>
      <c r="J78" s="52" t="s">
        <v>21</v>
      </c>
      <c r="K78" s="8" t="s">
        <v>22</v>
      </c>
      <c r="L78" s="52" t="s">
        <v>21</v>
      </c>
      <c r="M78" s="55"/>
      <c r="N78" s="14"/>
      <c r="O78" s="14" t="s">
        <v>20</v>
      </c>
      <c r="P78" s="4" t="s">
        <v>19</v>
      </c>
      <c r="Q78" s="81" t="s">
        <v>24</v>
      </c>
    </row>
    <row r="79" spans="1:18" s="4" customFormat="1" x14ac:dyDescent="0.25">
      <c r="B79" s="4" t="s">
        <v>494</v>
      </c>
      <c r="C79" s="4" t="s">
        <v>495</v>
      </c>
      <c r="D79" s="4">
        <v>50</v>
      </c>
      <c r="E79" s="4" t="s">
        <v>496</v>
      </c>
      <c r="F79" s="7" t="s">
        <v>491</v>
      </c>
      <c r="G79" s="21">
        <v>9.5799999999999996E-2</v>
      </c>
      <c r="H79" s="5">
        <f t="shared" si="3"/>
        <v>4.79</v>
      </c>
      <c r="I79" s="6">
        <f t="shared" si="2"/>
        <v>125450.1</v>
      </c>
      <c r="J79" s="4" t="s">
        <v>492</v>
      </c>
      <c r="K79" s="73" t="s">
        <v>105</v>
      </c>
      <c r="L79" s="74">
        <v>0.01</v>
      </c>
      <c r="M79" s="36" t="s">
        <v>51</v>
      </c>
      <c r="O79" s="14" t="s">
        <v>103</v>
      </c>
      <c r="P79" s="4" t="s">
        <v>19</v>
      </c>
    </row>
    <row r="80" spans="1:18" s="4" customFormat="1" x14ac:dyDescent="0.25">
      <c r="E80" s="14"/>
      <c r="G80" s="21"/>
      <c r="H80" s="5"/>
      <c r="K80" s="79"/>
    </row>
  </sheetData>
  <protectedRanges>
    <protectedRange algorithmName="SHA-512" hashValue="URZwgws8vs7w11q7Tp5NbWTO79uP4WqkPO52XawRSHwqEyFVPWpLiT4Mc2QkQ3L+yrDDVad2ha+QzbRaC3y4dw==" saltValue="lxj41VDlPQO1MqOvx9THQw==" spinCount="100000" sqref="F1:F1048576 J1:P1048576" name="Package"/>
    <protectedRange algorithmName="SHA-512" hashValue="rTO5nBcTRGndJBPUezcg00kTsSdRoROxAHRwamVjDanyP2vJZa5NWW11qekASSaVdOdUOgW1fHDj7tP/OzrsTQ==" saltValue="Cg4wScktOKlFDHaEWgWmxw==" spinCount="100000" sqref="B1:E1048576" name="Description"/>
  </protectedRanges>
  <autoFilter ref="A1:Q78" xr:uid="{DBEA4F97-B59B-4A33-BD02-D62B07553550}">
    <filterColumn colId="14">
      <filters>
        <filter val="Capacitor"/>
        <filter val="Diode"/>
        <filter val="IC"/>
      </filters>
    </filterColumn>
  </autoFilter>
  <hyperlinks>
    <hyperlink ref="F3" r:id="rId1" xr:uid="{E1B3D47C-8AA1-46DF-83DD-AA6F40775BB2}"/>
    <hyperlink ref="F2" r:id="rId2" xr:uid="{23A32C62-9B28-440C-B23E-5DB6EF0A2F5B}"/>
    <hyperlink ref="F4" r:id="rId3" xr:uid="{63231005-3610-4047-A930-0C8235007B7D}"/>
    <hyperlink ref="F5" r:id="rId4" xr:uid="{36FD7FF0-3629-43C1-9E2C-4A6B624D94FB}"/>
    <hyperlink ref="F6" r:id="rId5" xr:uid="{8C061200-F099-4AB3-8CAF-BAAF1BBD75AB}"/>
    <hyperlink ref="F7" r:id="rId6" xr:uid="{68125ACD-B3BD-4C09-A2CB-7D7A6FDB4268}"/>
    <hyperlink ref="F8" r:id="rId7" xr:uid="{D6B308EE-B809-442F-A6DA-209D4B3BEB67}"/>
    <hyperlink ref="F10" r:id="rId8" xr:uid="{EBD944EA-0D84-48A2-B606-EB3D9FD3BF54}"/>
    <hyperlink ref="F9" r:id="rId9" xr:uid="{D69AE04B-8600-4349-BD1A-89EBBA805451}"/>
    <hyperlink ref="F11" r:id="rId10" xr:uid="{748E09FA-C8EE-4909-B0F3-6165629C6858}"/>
    <hyperlink ref="F12" r:id="rId11" xr:uid="{D9637337-7E31-419D-BBC5-DC13E7BA38F1}"/>
    <hyperlink ref="F13" r:id="rId12" xr:uid="{78637895-2583-406F-BC14-77083EA301C2}"/>
    <hyperlink ref="F14" r:id="rId13" xr:uid="{B650F7AC-58E4-4915-A08B-FFAF349D23F8}"/>
    <hyperlink ref="F15" r:id="rId14" xr:uid="{D0C1E6F4-CB69-4FEF-869A-A7FC116FD6D9}"/>
    <hyperlink ref="F16" r:id="rId15" xr:uid="{7C6824EF-DC50-4130-A39D-6D99DE2168AA}"/>
    <hyperlink ref="F17" r:id="rId16" xr:uid="{4344BB84-3514-44A7-83ED-DBFA3C037823}"/>
    <hyperlink ref="F18" r:id="rId17" xr:uid="{5095DC33-6AE5-4287-A33B-A7374AF132D6}"/>
    <hyperlink ref="F19" r:id="rId18" xr:uid="{FEF0BB3A-D501-45D5-BB84-3114EE589F19}"/>
    <hyperlink ref="F20" r:id="rId19" xr:uid="{407B34D4-B559-4C34-9074-D83434E070EE}"/>
    <hyperlink ref="F21" r:id="rId20" xr:uid="{F079B4CB-D37E-499A-907F-A661D25D8A31}"/>
    <hyperlink ref="F22" r:id="rId21" xr:uid="{5C5E7C51-EFE9-4E8D-AD5E-CF509C43EAB5}"/>
    <hyperlink ref="F23" r:id="rId22" xr:uid="{B3CA67B4-F01D-4EC7-BF23-45050E947B90}"/>
    <hyperlink ref="F24" r:id="rId23" xr:uid="{4094A24D-D647-46E4-81FF-9CB53575DFC7}"/>
    <hyperlink ref="F25" r:id="rId24" xr:uid="{6ED89482-3772-4297-8BC9-B5600A0FF492}"/>
    <hyperlink ref="F26" r:id="rId25" xr:uid="{0034A981-295C-4956-96B6-CBD23223ADC7}"/>
    <hyperlink ref="F27" r:id="rId26" xr:uid="{7CC7D326-247A-4983-8552-236655E4CFC3}"/>
    <hyperlink ref="F28" r:id="rId27" xr:uid="{14ADE602-7723-4075-B9F3-0CD1DFA20D92}"/>
    <hyperlink ref="F29" r:id="rId28" xr:uid="{126970CC-B1DE-4D8B-8AC0-C02F7FD24E46}"/>
    <hyperlink ref="F30" r:id="rId29" xr:uid="{D0259BE7-4411-4BFF-A2F0-E7C83A1FA901}"/>
    <hyperlink ref="F31" r:id="rId30" display="https://www.digikey.com/en/products/detail/panasonic-electronic-components/ERJ-3EKF49R9V/196378" xr:uid="{14C99A9D-E2AC-4766-AC5D-E1726F2771DF}"/>
    <hyperlink ref="F32" r:id="rId31" xr:uid="{AA0820CD-3FF1-4DA8-BE3A-115B9B96FA9C}"/>
    <hyperlink ref="F33" r:id="rId32" xr:uid="{F05FEF12-093A-4F9A-B592-318D20125ACB}"/>
    <hyperlink ref="F34" r:id="rId33" xr:uid="{EED870F9-9F98-4998-84FB-192D86F546F1}"/>
    <hyperlink ref="F35" r:id="rId34" xr:uid="{BB6DE529-53F6-48DF-9F6C-488CC684CC45}"/>
    <hyperlink ref="F36" r:id="rId35" xr:uid="{3FA2309B-2B9D-4739-9931-D714D4A85D71}"/>
    <hyperlink ref="F37" r:id="rId36" xr:uid="{8E47A486-B261-46A7-B281-EF714F4C30D3}"/>
    <hyperlink ref="F38" r:id="rId37" xr:uid="{A1C7551C-2658-4D4B-9482-D65254232235}"/>
    <hyperlink ref="F39" r:id="rId38" xr:uid="{38DD05ED-E120-4185-A00E-0DCE14DEB7A1}"/>
    <hyperlink ref="F40" r:id="rId39" xr:uid="{9F58C96C-23F9-4A29-AC3A-B186B3F227DD}"/>
    <hyperlink ref="F41" r:id="rId40" xr:uid="{79E9CF0C-1E3C-4056-A5EC-EC59538B1F42}"/>
    <hyperlink ref="F42" r:id="rId41" xr:uid="{7CBB2853-741F-4DDB-B4AA-41E054AF2DE4}"/>
    <hyperlink ref="F43" r:id="rId42" xr:uid="{41F0ABDE-37A7-4EA2-AC85-7310DD79AE06}"/>
    <hyperlink ref="F44" r:id="rId43" xr:uid="{4BA5681B-902A-4917-BA0C-9AA089D1329F}"/>
    <hyperlink ref="F45" r:id="rId44" xr:uid="{1EEEA731-28CE-4CED-AAA4-2F3E7FFAD274}"/>
    <hyperlink ref="F46" r:id="rId45" xr:uid="{776279AE-5059-4434-BFC0-E47E2752300A}"/>
    <hyperlink ref="F47" r:id="rId46" xr:uid="{12716EE2-F5B1-4FD7-815F-8DC32AA14768}"/>
    <hyperlink ref="F48" r:id="rId47" xr:uid="{ABC6DD3C-8AA9-4680-B9E9-248C17895986}"/>
    <hyperlink ref="F49" r:id="rId48" xr:uid="{AB47E613-17C5-4DED-833E-D13455BF2331}"/>
    <hyperlink ref="F50" r:id="rId49" xr:uid="{E7DFC77B-17F0-4211-B3FD-63C3DCE95689}"/>
    <hyperlink ref="F51" r:id="rId50" xr:uid="{E133F1EC-442B-4315-8DEC-4FE52A0CE575}"/>
    <hyperlink ref="F52" r:id="rId51" xr:uid="{12537871-9F36-474D-B486-45CA055B5EC4}"/>
    <hyperlink ref="F53" r:id="rId52" xr:uid="{29066D53-30B9-4D90-9BB9-67D152FC2219}"/>
    <hyperlink ref="F55" r:id="rId53" xr:uid="{CE20E556-8206-44C4-9E28-4C83113C9F13}"/>
    <hyperlink ref="F54" r:id="rId54" xr:uid="{ED608CC9-0CA9-49DE-B614-FD699107BE24}"/>
    <hyperlink ref="F56" r:id="rId55" xr:uid="{8EBEE1EE-9694-46A2-9726-060CC6F5D4F3}"/>
    <hyperlink ref="F57" r:id="rId56" xr:uid="{7BE12CFF-2288-42B0-AEB0-C5F3B9E54C74}"/>
    <hyperlink ref="F58" r:id="rId57" xr:uid="{1B1C01DA-8445-4411-8490-15CD54C367D3}"/>
    <hyperlink ref="F59" r:id="rId58" xr:uid="{0D156B22-04B3-4675-8907-B9ACD3AAB413}"/>
    <hyperlink ref="F60" r:id="rId59" xr:uid="{6F11868A-1B10-45B7-AB6E-FD6BA8CB24E0}"/>
    <hyperlink ref="F61" r:id="rId60" xr:uid="{28529B1E-0A4F-4286-BE07-4296CE7B8B79}"/>
    <hyperlink ref="F62" r:id="rId61" xr:uid="{EF9ED7A8-23AD-4144-B007-10866E24153D}"/>
    <hyperlink ref="F63" r:id="rId62" xr:uid="{816D965F-DDC9-43F7-8DEA-4D546D20C2D0}"/>
    <hyperlink ref="F64" r:id="rId63" xr:uid="{A418F290-2D58-4834-A192-B39226E8C34B}"/>
    <hyperlink ref="F65" r:id="rId64" xr:uid="{55BF72C1-9316-4076-B984-8762A129E2C8}"/>
    <hyperlink ref="F66" r:id="rId65" xr:uid="{260BDE02-C2A3-418B-9F06-560FB35BC1DB}"/>
    <hyperlink ref="F67" r:id="rId66" xr:uid="{0A45A6A0-98E0-4F7B-9411-39A5FFC3FAAE}"/>
    <hyperlink ref="F68" r:id="rId67" xr:uid="{0FF4F716-C121-46F1-84C1-BBA4258B20C9}"/>
    <hyperlink ref="F69" r:id="rId68" xr:uid="{C9770F36-39C7-4DB3-9846-5AAEB0E92A82}"/>
    <hyperlink ref="F70" r:id="rId69" xr:uid="{5EC631AE-EB1C-4AC3-810E-B925A39CF545}"/>
    <hyperlink ref="F71" r:id="rId70" xr:uid="{3CA1BB36-2B6F-471B-B8AC-68091D230868}"/>
    <hyperlink ref="F72" r:id="rId71" xr:uid="{7263274F-C59A-4DAA-BCEE-3769687DE459}"/>
    <hyperlink ref="F73" r:id="rId72" xr:uid="{74DD422B-1E61-4A3E-8BB6-68C065649A54}"/>
    <hyperlink ref="F74" r:id="rId73" xr:uid="{25C9AD29-DC79-411D-9AB8-A3A7C8E82013}"/>
    <hyperlink ref="F75" r:id="rId74" xr:uid="{DAD67F27-0653-4F3F-A436-BAA090EEF0AD}"/>
    <hyperlink ref="F76" r:id="rId75" xr:uid="{655B99AF-8861-4311-BE72-378CD84A15E0}"/>
    <hyperlink ref="F77" r:id="rId76" xr:uid="{9DEE9F6D-68B7-4F77-BDE6-FEA61C68538A}"/>
    <hyperlink ref="F78" r:id="rId77" xr:uid="{1D4D369E-0485-4090-BEDA-8161F440F63A}"/>
    <hyperlink ref="F79" r:id="rId78" xr:uid="{627391B4-F875-422F-99C5-579D5EF5F841}"/>
  </hyperlinks>
  <pageMargins left="0.7" right="0.7" top="0.75" bottom="0.75" header="0.3" footer="0.3"/>
  <pageSetup orientation="portrait" r:id="rId7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FCB943-4516-4558-B1D9-EAFD4E57D3D7}">
  <dimension ref="A1:D66"/>
  <sheetViews>
    <sheetView workbookViewId="0">
      <selection activeCell="D22" sqref="D22"/>
    </sheetView>
  </sheetViews>
  <sheetFormatPr defaultRowHeight="15" x14ac:dyDescent="0.25"/>
  <cols>
    <col min="3" max="3" width="36.5703125" customWidth="1"/>
    <col min="4" max="4" width="20" bestFit="1" customWidth="1"/>
  </cols>
  <sheetData>
    <row r="1" spans="1:4" x14ac:dyDescent="0.25">
      <c r="A1" t="s">
        <v>372</v>
      </c>
    </row>
    <row r="3" spans="1:4" x14ac:dyDescent="0.25">
      <c r="A3" t="s">
        <v>373</v>
      </c>
      <c r="B3" t="s">
        <v>374</v>
      </c>
      <c r="C3" t="s">
        <v>375</v>
      </c>
      <c r="D3" t="s">
        <v>4</v>
      </c>
    </row>
    <row r="4" spans="1:4" x14ac:dyDescent="0.25">
      <c r="A4" t="s">
        <v>376</v>
      </c>
      <c r="B4" t="s">
        <v>377</v>
      </c>
      <c r="C4" t="s">
        <v>377</v>
      </c>
      <c r="D4" t="s">
        <v>378</v>
      </c>
    </row>
    <row r="5" spans="1:4" x14ac:dyDescent="0.25">
      <c r="A5" t="s">
        <v>379</v>
      </c>
      <c r="B5" t="s">
        <v>377</v>
      </c>
      <c r="C5" t="s">
        <v>377</v>
      </c>
      <c r="D5" t="s">
        <v>380</v>
      </c>
    </row>
    <row r="6" spans="1:4" x14ac:dyDescent="0.25">
      <c r="A6" t="s">
        <v>381</v>
      </c>
      <c r="B6" t="s">
        <v>377</v>
      </c>
      <c r="C6" t="s">
        <v>377</v>
      </c>
      <c r="D6" t="s">
        <v>382</v>
      </c>
    </row>
    <row r="7" spans="1:4" x14ac:dyDescent="0.25">
      <c r="A7" t="s">
        <v>383</v>
      </c>
      <c r="B7" t="s">
        <v>377</v>
      </c>
      <c r="C7" t="s">
        <v>377</v>
      </c>
      <c r="D7" t="s">
        <v>384</v>
      </c>
    </row>
    <row r="8" spans="1:4" x14ac:dyDescent="0.25">
      <c r="A8" t="s">
        <v>385</v>
      </c>
      <c r="B8" t="s">
        <v>377</v>
      </c>
      <c r="C8" t="s">
        <v>377</v>
      </c>
      <c r="D8" t="s">
        <v>386</v>
      </c>
    </row>
    <row r="9" spans="1:4" x14ac:dyDescent="0.25">
      <c r="A9" t="s">
        <v>387</v>
      </c>
      <c r="B9" t="s">
        <v>377</v>
      </c>
      <c r="C9" t="s">
        <v>377</v>
      </c>
      <c r="D9" t="s">
        <v>388</v>
      </c>
    </row>
    <row r="10" spans="1:4" x14ac:dyDescent="0.25">
      <c r="A10" t="s">
        <v>389</v>
      </c>
      <c r="B10" t="s">
        <v>377</v>
      </c>
      <c r="C10" t="s">
        <v>377</v>
      </c>
      <c r="D10" t="s">
        <v>390</v>
      </c>
    </row>
    <row r="11" spans="1:4" x14ac:dyDescent="0.25">
      <c r="A11" t="s">
        <v>391</v>
      </c>
      <c r="B11" t="s">
        <v>377</v>
      </c>
      <c r="C11" t="s">
        <v>377</v>
      </c>
      <c r="D11" t="s">
        <v>392</v>
      </c>
    </row>
    <row r="12" spans="1:4" x14ac:dyDescent="0.25">
      <c r="A12" t="s">
        <v>393</v>
      </c>
      <c r="B12" t="s">
        <v>394</v>
      </c>
      <c r="C12" t="s">
        <v>395</v>
      </c>
      <c r="D12" t="s">
        <v>396</v>
      </c>
    </row>
    <row r="13" spans="1:4" x14ac:dyDescent="0.25">
      <c r="A13" t="s">
        <v>397</v>
      </c>
      <c r="B13" t="s">
        <v>394</v>
      </c>
      <c r="C13" t="s">
        <v>395</v>
      </c>
      <c r="D13" t="s">
        <v>398</v>
      </c>
    </row>
    <row r="14" spans="1:4" x14ac:dyDescent="0.25">
      <c r="A14" t="s">
        <v>399</v>
      </c>
      <c r="B14" t="s">
        <v>394</v>
      </c>
      <c r="C14" t="s">
        <v>395</v>
      </c>
      <c r="D14" t="s">
        <v>396</v>
      </c>
    </row>
    <row r="15" spans="1:4" x14ac:dyDescent="0.25">
      <c r="A15" t="s">
        <v>400</v>
      </c>
      <c r="B15" t="s">
        <v>394</v>
      </c>
      <c r="C15" t="s">
        <v>395</v>
      </c>
      <c r="D15" t="s">
        <v>398</v>
      </c>
    </row>
    <row r="16" spans="1:4" x14ac:dyDescent="0.25">
      <c r="A16" t="s">
        <v>401</v>
      </c>
      <c r="B16" t="s">
        <v>394</v>
      </c>
      <c r="C16" t="s">
        <v>395</v>
      </c>
      <c r="D16" t="s">
        <v>396</v>
      </c>
    </row>
    <row r="17" spans="1:4" x14ac:dyDescent="0.25">
      <c r="A17" t="s">
        <v>402</v>
      </c>
      <c r="B17" t="s">
        <v>394</v>
      </c>
      <c r="C17" t="s">
        <v>395</v>
      </c>
      <c r="D17" t="s">
        <v>398</v>
      </c>
    </row>
    <row r="18" spans="1:4" x14ac:dyDescent="0.25">
      <c r="A18" t="s">
        <v>403</v>
      </c>
      <c r="B18" t="s">
        <v>394</v>
      </c>
      <c r="C18" t="s">
        <v>395</v>
      </c>
      <c r="D18" t="s">
        <v>396</v>
      </c>
    </row>
    <row r="19" spans="1:4" x14ac:dyDescent="0.25">
      <c r="A19" t="s">
        <v>404</v>
      </c>
      <c r="B19" t="s">
        <v>394</v>
      </c>
      <c r="C19" t="s">
        <v>395</v>
      </c>
      <c r="D19" t="s">
        <v>398</v>
      </c>
    </row>
    <row r="20" spans="1:4" x14ac:dyDescent="0.25">
      <c r="A20" t="s">
        <v>405</v>
      </c>
      <c r="B20" t="s">
        <v>394</v>
      </c>
      <c r="C20" t="s">
        <v>395</v>
      </c>
      <c r="D20" t="s">
        <v>396</v>
      </c>
    </row>
    <row r="21" spans="1:4" x14ac:dyDescent="0.25">
      <c r="A21" t="s">
        <v>406</v>
      </c>
      <c r="B21" t="s">
        <v>394</v>
      </c>
      <c r="C21" t="s">
        <v>395</v>
      </c>
      <c r="D21" t="s">
        <v>398</v>
      </c>
    </row>
    <row r="22" spans="1:4" x14ac:dyDescent="0.25">
      <c r="A22" t="s">
        <v>407</v>
      </c>
      <c r="B22" t="s">
        <v>394</v>
      </c>
      <c r="C22" t="s">
        <v>395</v>
      </c>
      <c r="D22" t="s">
        <v>396</v>
      </c>
    </row>
    <row r="23" spans="1:4" x14ac:dyDescent="0.25">
      <c r="A23" t="s">
        <v>408</v>
      </c>
      <c r="B23" t="s">
        <v>394</v>
      </c>
      <c r="C23" t="s">
        <v>395</v>
      </c>
      <c r="D23" t="s">
        <v>398</v>
      </c>
    </row>
    <row r="24" spans="1:4" x14ac:dyDescent="0.25">
      <c r="A24" t="s">
        <v>409</v>
      </c>
      <c r="B24" t="s">
        <v>394</v>
      </c>
      <c r="C24" t="s">
        <v>395</v>
      </c>
      <c r="D24" t="s">
        <v>398</v>
      </c>
    </row>
    <row r="25" spans="1:4" x14ac:dyDescent="0.25">
      <c r="A25" t="s">
        <v>410</v>
      </c>
      <c r="B25" t="s">
        <v>394</v>
      </c>
      <c r="C25" t="s">
        <v>395</v>
      </c>
      <c r="D25" t="s">
        <v>396</v>
      </c>
    </row>
    <row r="26" spans="1:4" x14ac:dyDescent="0.25">
      <c r="A26" t="s">
        <v>411</v>
      </c>
      <c r="B26" t="s">
        <v>394</v>
      </c>
      <c r="C26" t="s">
        <v>395</v>
      </c>
      <c r="D26" t="s">
        <v>396</v>
      </c>
    </row>
    <row r="27" spans="1:4" x14ac:dyDescent="0.25">
      <c r="A27" t="s">
        <v>412</v>
      </c>
      <c r="B27" t="s">
        <v>394</v>
      </c>
      <c r="C27" t="s">
        <v>395</v>
      </c>
      <c r="D27" t="s">
        <v>398</v>
      </c>
    </row>
    <row r="28" spans="1:4" x14ac:dyDescent="0.25">
      <c r="A28" t="s">
        <v>413</v>
      </c>
      <c r="B28" t="s">
        <v>394</v>
      </c>
      <c r="C28" t="s">
        <v>395</v>
      </c>
      <c r="D28" t="s">
        <v>396</v>
      </c>
    </row>
    <row r="29" spans="1:4" x14ac:dyDescent="0.25">
      <c r="A29" t="s">
        <v>414</v>
      </c>
      <c r="B29" t="s">
        <v>394</v>
      </c>
      <c r="C29" t="s">
        <v>395</v>
      </c>
      <c r="D29" t="s">
        <v>398</v>
      </c>
    </row>
    <row r="30" spans="1:4" x14ac:dyDescent="0.25">
      <c r="A30" t="s">
        <v>415</v>
      </c>
      <c r="B30" t="s">
        <v>394</v>
      </c>
      <c r="C30" t="s">
        <v>395</v>
      </c>
      <c r="D30" t="s">
        <v>396</v>
      </c>
    </row>
    <row r="31" spans="1:4" x14ac:dyDescent="0.25">
      <c r="A31" t="s">
        <v>416</v>
      </c>
      <c r="B31" t="s">
        <v>394</v>
      </c>
      <c r="C31" t="s">
        <v>395</v>
      </c>
      <c r="D31" t="s">
        <v>398</v>
      </c>
    </row>
    <row r="32" spans="1:4" x14ac:dyDescent="0.25">
      <c r="A32" t="s">
        <v>417</v>
      </c>
      <c r="B32" t="s">
        <v>377</v>
      </c>
      <c r="C32" t="s">
        <v>377</v>
      </c>
      <c r="D32" t="s">
        <v>418</v>
      </c>
    </row>
    <row r="33" spans="1:4" x14ac:dyDescent="0.25">
      <c r="A33" t="s">
        <v>419</v>
      </c>
      <c r="B33" t="s">
        <v>377</v>
      </c>
      <c r="C33" t="s">
        <v>377</v>
      </c>
      <c r="D33" t="s">
        <v>418</v>
      </c>
    </row>
    <row r="34" spans="1:4" x14ac:dyDescent="0.25">
      <c r="A34" t="s">
        <v>420</v>
      </c>
      <c r="B34" t="s">
        <v>394</v>
      </c>
      <c r="C34" t="s">
        <v>395</v>
      </c>
      <c r="D34" t="s">
        <v>396</v>
      </c>
    </row>
    <row r="35" spans="1:4" x14ac:dyDescent="0.25">
      <c r="A35" t="s">
        <v>421</v>
      </c>
      <c r="B35" t="s">
        <v>394</v>
      </c>
      <c r="C35" t="s">
        <v>395</v>
      </c>
      <c r="D35" t="s">
        <v>398</v>
      </c>
    </row>
    <row r="36" spans="1:4" x14ac:dyDescent="0.25">
      <c r="A36" t="s">
        <v>422</v>
      </c>
      <c r="B36" t="s">
        <v>394</v>
      </c>
      <c r="C36" t="s">
        <v>395</v>
      </c>
      <c r="D36" t="s">
        <v>396</v>
      </c>
    </row>
    <row r="37" spans="1:4" x14ac:dyDescent="0.25">
      <c r="A37" t="s">
        <v>423</v>
      </c>
      <c r="B37" t="s">
        <v>394</v>
      </c>
      <c r="C37" t="s">
        <v>395</v>
      </c>
      <c r="D37" t="s">
        <v>398</v>
      </c>
    </row>
    <row r="38" spans="1:4" x14ac:dyDescent="0.25">
      <c r="A38" t="s">
        <v>424</v>
      </c>
      <c r="B38" t="s">
        <v>394</v>
      </c>
      <c r="C38" t="s">
        <v>395</v>
      </c>
      <c r="D38" t="s">
        <v>425</v>
      </c>
    </row>
    <row r="39" spans="1:4" x14ac:dyDescent="0.25">
      <c r="A39" t="s">
        <v>426</v>
      </c>
      <c r="B39" t="s">
        <v>377</v>
      </c>
      <c r="C39" t="s">
        <v>377</v>
      </c>
      <c r="D39" t="s">
        <v>427</v>
      </c>
    </row>
    <row r="40" spans="1:4" x14ac:dyDescent="0.25">
      <c r="A40" t="s">
        <v>428</v>
      </c>
      <c r="B40" t="s">
        <v>377</v>
      </c>
      <c r="C40" t="s">
        <v>377</v>
      </c>
      <c r="D40" t="s">
        <v>429</v>
      </c>
    </row>
    <row r="41" spans="1:4" x14ac:dyDescent="0.25">
      <c r="A41" t="s">
        <v>430</v>
      </c>
      <c r="B41" t="s">
        <v>377</v>
      </c>
      <c r="C41" t="s">
        <v>377</v>
      </c>
      <c r="D41" t="s">
        <v>431</v>
      </c>
    </row>
    <row r="42" spans="1:4" x14ac:dyDescent="0.25">
      <c r="A42" t="s">
        <v>432</v>
      </c>
      <c r="B42" t="s">
        <v>377</v>
      </c>
      <c r="C42" t="s">
        <v>377</v>
      </c>
      <c r="D42" t="s">
        <v>433</v>
      </c>
    </row>
    <row r="43" spans="1:4" x14ac:dyDescent="0.25">
      <c r="A43" t="s">
        <v>434</v>
      </c>
      <c r="B43" t="s">
        <v>377</v>
      </c>
      <c r="C43" t="s">
        <v>377</v>
      </c>
      <c r="D43" t="s">
        <v>433</v>
      </c>
    </row>
    <row r="44" spans="1:4" x14ac:dyDescent="0.25">
      <c r="A44" t="s">
        <v>435</v>
      </c>
      <c r="B44" t="s">
        <v>377</v>
      </c>
      <c r="C44" t="s">
        <v>377</v>
      </c>
      <c r="D44" t="s">
        <v>436</v>
      </c>
    </row>
    <row r="45" spans="1:4" x14ac:dyDescent="0.25">
      <c r="A45" t="s">
        <v>437</v>
      </c>
      <c r="B45" t="s">
        <v>377</v>
      </c>
      <c r="C45" t="s">
        <v>377</v>
      </c>
      <c r="D45" t="s">
        <v>438</v>
      </c>
    </row>
    <row r="46" spans="1:4" x14ac:dyDescent="0.25">
      <c r="A46" t="s">
        <v>439</v>
      </c>
      <c r="B46" t="s">
        <v>377</v>
      </c>
      <c r="C46" t="s">
        <v>377</v>
      </c>
      <c r="D46" t="s">
        <v>438</v>
      </c>
    </row>
    <row r="47" spans="1:4" x14ac:dyDescent="0.25">
      <c r="A47" t="s">
        <v>440</v>
      </c>
      <c r="B47" t="s">
        <v>377</v>
      </c>
      <c r="C47" t="s">
        <v>377</v>
      </c>
      <c r="D47" t="s">
        <v>441</v>
      </c>
    </row>
    <row r="48" spans="1:4" x14ac:dyDescent="0.25">
      <c r="A48" t="s">
        <v>442</v>
      </c>
      <c r="B48" t="s">
        <v>377</v>
      </c>
      <c r="C48" t="s">
        <v>377</v>
      </c>
      <c r="D48" t="s">
        <v>443</v>
      </c>
    </row>
    <row r="49" spans="1:4" x14ac:dyDescent="0.25">
      <c r="A49" t="s">
        <v>444</v>
      </c>
      <c r="B49" t="s">
        <v>377</v>
      </c>
      <c r="C49" t="s">
        <v>377</v>
      </c>
      <c r="D49" t="s">
        <v>441</v>
      </c>
    </row>
    <row r="50" spans="1:4" x14ac:dyDescent="0.25">
      <c r="A50" t="s">
        <v>445</v>
      </c>
      <c r="B50" t="s">
        <v>377</v>
      </c>
      <c r="C50" t="s">
        <v>377</v>
      </c>
      <c r="D50" t="s">
        <v>441</v>
      </c>
    </row>
    <row r="51" spans="1:4" x14ac:dyDescent="0.25">
      <c r="A51" t="s">
        <v>446</v>
      </c>
      <c r="B51" t="s">
        <v>377</v>
      </c>
      <c r="C51" t="s">
        <v>377</v>
      </c>
      <c r="D51" t="s">
        <v>447</v>
      </c>
    </row>
    <row r="52" spans="1:4" x14ac:dyDescent="0.25">
      <c r="A52" t="s">
        <v>448</v>
      </c>
      <c r="B52" t="s">
        <v>377</v>
      </c>
      <c r="C52" t="s">
        <v>377</v>
      </c>
      <c r="D52" t="s">
        <v>449</v>
      </c>
    </row>
    <row r="53" spans="1:4" x14ac:dyDescent="0.25">
      <c r="A53" t="s">
        <v>450</v>
      </c>
      <c r="B53" t="s">
        <v>377</v>
      </c>
      <c r="C53" t="s">
        <v>377</v>
      </c>
      <c r="D53" t="s">
        <v>451</v>
      </c>
    </row>
    <row r="54" spans="1:4" x14ac:dyDescent="0.25">
      <c r="A54" t="s">
        <v>452</v>
      </c>
      <c r="B54" t="s">
        <v>377</v>
      </c>
      <c r="C54" t="s">
        <v>377</v>
      </c>
      <c r="D54" t="s">
        <v>453</v>
      </c>
    </row>
    <row r="55" spans="1:4" x14ac:dyDescent="0.25">
      <c r="A55" t="s">
        <v>454</v>
      </c>
      <c r="B55" t="s">
        <v>377</v>
      </c>
      <c r="C55" t="s">
        <v>377</v>
      </c>
      <c r="D55" t="s">
        <v>455</v>
      </c>
    </row>
    <row r="56" spans="1:4" x14ac:dyDescent="0.25">
      <c r="A56" t="s">
        <v>456</v>
      </c>
      <c r="B56" t="s">
        <v>377</v>
      </c>
      <c r="C56" t="s">
        <v>377</v>
      </c>
      <c r="D56" t="s">
        <v>453</v>
      </c>
    </row>
    <row r="57" spans="1:4" x14ac:dyDescent="0.25">
      <c r="A57" t="s">
        <v>457</v>
      </c>
      <c r="B57" t="s">
        <v>377</v>
      </c>
      <c r="C57" t="s">
        <v>377</v>
      </c>
      <c r="D57" t="s">
        <v>453</v>
      </c>
    </row>
    <row r="58" spans="1:4" x14ac:dyDescent="0.25">
      <c r="A58" t="s">
        <v>458</v>
      </c>
      <c r="B58" t="s">
        <v>377</v>
      </c>
      <c r="C58" t="s">
        <v>377</v>
      </c>
      <c r="D58" t="s">
        <v>438</v>
      </c>
    </row>
    <row r="59" spans="1:4" x14ac:dyDescent="0.25">
      <c r="A59" t="s">
        <v>459</v>
      </c>
      <c r="B59" t="s">
        <v>460</v>
      </c>
      <c r="C59" t="s">
        <v>461</v>
      </c>
      <c r="D59" t="s">
        <v>462</v>
      </c>
    </row>
    <row r="60" spans="1:4" x14ac:dyDescent="0.25">
      <c r="A60" t="s">
        <v>463</v>
      </c>
      <c r="B60" t="s">
        <v>460</v>
      </c>
      <c r="C60" t="s">
        <v>461</v>
      </c>
      <c r="D60" t="s">
        <v>462</v>
      </c>
    </row>
    <row r="61" spans="1:4" x14ac:dyDescent="0.25">
      <c r="A61" t="s">
        <v>464</v>
      </c>
      <c r="B61" t="s">
        <v>460</v>
      </c>
      <c r="C61" t="s">
        <v>465</v>
      </c>
      <c r="D61" t="s">
        <v>462</v>
      </c>
    </row>
    <row r="62" spans="1:4" x14ac:dyDescent="0.25">
      <c r="A62" t="s">
        <v>466</v>
      </c>
      <c r="B62" t="s">
        <v>460</v>
      </c>
      <c r="C62" t="s">
        <v>467</v>
      </c>
      <c r="D62" t="s">
        <v>462</v>
      </c>
    </row>
    <row r="63" spans="1:4" x14ac:dyDescent="0.25">
      <c r="A63" t="s">
        <v>468</v>
      </c>
      <c r="B63" t="s">
        <v>460</v>
      </c>
      <c r="C63" t="s">
        <v>469</v>
      </c>
      <c r="D63" t="s">
        <v>462</v>
      </c>
    </row>
    <row r="64" spans="1:4" x14ac:dyDescent="0.25">
      <c r="A64" t="s">
        <v>470</v>
      </c>
      <c r="B64" t="s">
        <v>460</v>
      </c>
      <c r="C64" t="s">
        <v>461</v>
      </c>
      <c r="D64" t="s">
        <v>462</v>
      </c>
    </row>
    <row r="65" spans="1:4" x14ac:dyDescent="0.25">
      <c r="A65" t="s">
        <v>471</v>
      </c>
      <c r="B65" t="s">
        <v>460</v>
      </c>
      <c r="C65" t="s">
        <v>472</v>
      </c>
      <c r="D65" t="s">
        <v>462</v>
      </c>
    </row>
    <row r="66" spans="1:4" x14ac:dyDescent="0.25">
      <c r="A66" t="s">
        <v>473</v>
      </c>
      <c r="B66" t="s">
        <v>460</v>
      </c>
      <c r="C66" t="s">
        <v>461</v>
      </c>
      <c r="D66" t="s">
        <v>462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Khôi</vt:lpstr>
      <vt:lpstr>Sheet1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Minh Khôi Võ Tấn</dc:creator>
  <cp:keywords/>
  <dc:description/>
  <cp:lastModifiedBy>Minh Khôi Võ Tấn</cp:lastModifiedBy>
  <cp:revision/>
  <dcterms:created xsi:type="dcterms:W3CDTF">2026-03-08T12:06:42Z</dcterms:created>
  <dcterms:modified xsi:type="dcterms:W3CDTF">2026-04-06T18:23:55Z</dcterms:modified>
  <cp:category/>
  <cp:contentStatus/>
</cp:coreProperties>
</file>