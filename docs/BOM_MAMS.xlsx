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f010977c1c328cb/Education/Master/04_Projects/Muscular-Atrophy-Measurement-System/docs/"/>
    </mc:Choice>
  </mc:AlternateContent>
  <xr:revisionPtr revIDLastSave="210" documentId="8_{3DA633D9-8B9D-4D1D-9D9A-C815DEAE4DDF}" xr6:coauthVersionLast="47" xr6:coauthVersionMax="47" xr10:uidLastSave="{63F0EAF1-0A0D-494F-9C7F-B94E3EA9384B}"/>
  <bookViews>
    <workbookView xWindow="-120" yWindow="-120" windowWidth="38640" windowHeight="21120" xr2:uid="{31CB3DE3-ED4B-4D40-BA7C-ABCB199A1E4A}"/>
  </bookViews>
  <sheets>
    <sheet name="KhoiVTM" sheetId="1" r:id="rId1"/>
    <sheet name="EIM_Tracker" sheetId="13" r:id="rId2"/>
    <sheet name="Kicad_Extract" sheetId="14" r:id="rId3"/>
    <sheet name="BienNH" sheetId="5" r:id="rId4"/>
    <sheet name="NgaDTL" sheetId="6" r:id="rId5"/>
    <sheet name="Order" sheetId="9" r:id="rId6"/>
  </sheets>
  <definedNames>
    <definedName name="_xlnm._FilterDatabase" localSheetId="1" hidden="1">EIM_Tracker!$A$1:$J$108</definedName>
    <definedName name="_xlnm._FilterDatabase" localSheetId="0" hidden="1">KhoiVTM!$A$1:$Q$113</definedName>
    <definedName name="_xlnm._FilterDatabase" localSheetId="2" hidden="1">Kicad_Extract!$A$1:$F$67</definedName>
    <definedName name="_xlnm._FilterDatabase" localSheetId="4" hidden="1">NgaDTL!$A$1:$Q$34</definedName>
    <definedName name="_xlnm._FilterDatabase" localSheetId="5" hidden="1">Order!$A$1:$P$107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9" l="1"/>
  <c r="C3" i="9"/>
  <c r="C4" i="9"/>
  <c r="C5" i="9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B2" i="9"/>
  <c r="B3" i="9"/>
  <c r="I75" i="9"/>
  <c r="I74" i="9"/>
  <c r="I73" i="9"/>
  <c r="I72" i="9"/>
  <c r="I71" i="9"/>
  <c r="I70" i="9"/>
  <c r="I69" i="9"/>
  <c r="I68" i="9"/>
  <c r="I67" i="9"/>
  <c r="I66" i="9"/>
  <c r="I65" i="9"/>
  <c r="I64" i="9"/>
  <c r="I63" i="9"/>
  <c r="I62" i="9"/>
  <c r="I61" i="9"/>
  <c r="I60" i="9"/>
  <c r="I59" i="9"/>
  <c r="I58" i="9"/>
  <c r="I57" i="9"/>
  <c r="I56" i="9"/>
  <c r="I55" i="9"/>
  <c r="I54" i="9"/>
  <c r="I53" i="9"/>
  <c r="I52" i="9"/>
  <c r="I24" i="5"/>
  <c r="I25" i="5"/>
  <c r="H31" i="5"/>
  <c r="D3" i="9"/>
  <c r="M3" i="9" s="1"/>
  <c r="D4" i="9"/>
  <c r="L4" i="9" s="1"/>
  <c r="D5" i="9"/>
  <c r="N5" i="9" s="1"/>
  <c r="D6" i="9"/>
  <c r="N6" i="9" s="1"/>
  <c r="D7" i="9"/>
  <c r="N7" i="9" s="1"/>
  <c r="D8" i="9"/>
  <c r="L8" i="9" s="1"/>
  <c r="D9" i="9"/>
  <c r="M9" i="9" s="1"/>
  <c r="D10" i="9"/>
  <c r="N10" i="9" s="1"/>
  <c r="D11" i="9"/>
  <c r="D12" i="9"/>
  <c r="D13" i="9"/>
  <c r="D14" i="9"/>
  <c r="J14" i="9" s="1"/>
  <c r="D15" i="9"/>
  <c r="J15" i="9" s="1"/>
  <c r="D16" i="9"/>
  <c r="J16" i="9" s="1"/>
  <c r="D17" i="9"/>
  <c r="N17" i="9" s="1"/>
  <c r="D18" i="9"/>
  <c r="N18" i="9" s="1"/>
  <c r="D19" i="9"/>
  <c r="N19" i="9" s="1"/>
  <c r="D20" i="9"/>
  <c r="D21" i="9"/>
  <c r="D22" i="9"/>
  <c r="D23" i="9"/>
  <c r="N23" i="9" s="1"/>
  <c r="D24" i="9"/>
  <c r="N24" i="9" s="1"/>
  <c r="D25" i="9"/>
  <c r="M25" i="9" s="1"/>
  <c r="D26" i="9"/>
  <c r="J26" i="9" s="1"/>
  <c r="D27" i="9"/>
  <c r="J27" i="9" s="1"/>
  <c r="D28" i="9"/>
  <c r="N28" i="9" s="1"/>
  <c r="D29" i="9"/>
  <c r="N29" i="9" s="1"/>
  <c r="D30" i="9"/>
  <c r="M30" i="9" s="1"/>
  <c r="D31" i="9"/>
  <c r="J31" i="9" s="1"/>
  <c r="D32" i="9"/>
  <c r="J32" i="9" s="1"/>
  <c r="D33" i="9"/>
  <c r="J33" i="9" s="1"/>
  <c r="D34" i="9"/>
  <c r="N34" i="9" s="1"/>
  <c r="D35" i="9"/>
  <c r="M35" i="9" s="1"/>
  <c r="D36" i="9"/>
  <c r="M36" i="9" s="1"/>
  <c r="D37" i="9"/>
  <c r="N37" i="9" s="1"/>
  <c r="D38" i="9"/>
  <c r="J38" i="9" s="1"/>
  <c r="D39" i="9"/>
  <c r="N39" i="9" s="1"/>
  <c r="D40" i="9"/>
  <c r="N40" i="9" s="1"/>
  <c r="D41" i="9"/>
  <c r="M41" i="9" s="1"/>
  <c r="D42" i="9"/>
  <c r="M42" i="9" s="1"/>
  <c r="D43" i="9"/>
  <c r="N43" i="9" s="1"/>
  <c r="D44" i="9"/>
  <c r="D45" i="9"/>
  <c r="D46" i="9"/>
  <c r="D47" i="9"/>
  <c r="D48" i="9"/>
  <c r="D49" i="9"/>
  <c r="D50" i="9"/>
  <c r="D51" i="9"/>
  <c r="D2" i="9"/>
  <c r="N2" i="9" s="1"/>
  <c r="H113" i="1"/>
  <c r="I113" i="1" s="1"/>
  <c r="F3" i="9"/>
  <c r="H3" i="9" s="1"/>
  <c r="I3" i="9" s="1"/>
  <c r="F4" i="9"/>
  <c r="H4" i="9" s="1"/>
  <c r="I4" i="9" s="1"/>
  <c r="F5" i="9"/>
  <c r="H5" i="9" s="1"/>
  <c r="I5" i="9" s="1"/>
  <c r="F6" i="9"/>
  <c r="H6" i="9" s="1"/>
  <c r="I6" i="9" s="1"/>
  <c r="F7" i="9"/>
  <c r="H7" i="9" s="1"/>
  <c r="I7" i="9" s="1"/>
  <c r="F8" i="9"/>
  <c r="H8" i="9" s="1"/>
  <c r="I8" i="9" s="1"/>
  <c r="F9" i="9"/>
  <c r="H9" i="9" s="1"/>
  <c r="I9" i="9" s="1"/>
  <c r="F10" i="9"/>
  <c r="H10" i="9" s="1"/>
  <c r="I10" i="9" s="1"/>
  <c r="F11" i="9"/>
  <c r="H11" i="9" s="1"/>
  <c r="I11" i="9" s="1"/>
  <c r="F12" i="9"/>
  <c r="H12" i="9" s="1"/>
  <c r="I12" i="9" s="1"/>
  <c r="F13" i="9"/>
  <c r="H13" i="9" s="1"/>
  <c r="I13" i="9" s="1"/>
  <c r="F14" i="9"/>
  <c r="H14" i="9" s="1"/>
  <c r="I14" i="9" s="1"/>
  <c r="F15" i="9"/>
  <c r="H15" i="9" s="1"/>
  <c r="I15" i="9" s="1"/>
  <c r="F16" i="9"/>
  <c r="H16" i="9" s="1"/>
  <c r="I16" i="9" s="1"/>
  <c r="F17" i="9"/>
  <c r="H17" i="9" s="1"/>
  <c r="I17" i="9" s="1"/>
  <c r="F18" i="9"/>
  <c r="H18" i="9" s="1"/>
  <c r="I18" i="9" s="1"/>
  <c r="F19" i="9"/>
  <c r="H19" i="9" s="1"/>
  <c r="I19" i="9" s="1"/>
  <c r="F20" i="9"/>
  <c r="H20" i="9" s="1"/>
  <c r="I20" i="9" s="1"/>
  <c r="F21" i="9"/>
  <c r="H21" i="9" s="1"/>
  <c r="I21" i="9" s="1"/>
  <c r="F22" i="9"/>
  <c r="H22" i="9" s="1"/>
  <c r="I22" i="9" s="1"/>
  <c r="F23" i="9"/>
  <c r="H23" i="9" s="1"/>
  <c r="I23" i="9" s="1"/>
  <c r="F24" i="9"/>
  <c r="H24" i="9" s="1"/>
  <c r="I24" i="9" s="1"/>
  <c r="F25" i="9"/>
  <c r="H25" i="9" s="1"/>
  <c r="I25" i="9" s="1"/>
  <c r="F26" i="9"/>
  <c r="H26" i="9" s="1"/>
  <c r="I26" i="9" s="1"/>
  <c r="F27" i="9"/>
  <c r="H27" i="9" s="1"/>
  <c r="I27" i="9" s="1"/>
  <c r="F28" i="9"/>
  <c r="H28" i="9" s="1"/>
  <c r="I28" i="9" s="1"/>
  <c r="F29" i="9"/>
  <c r="H29" i="9" s="1"/>
  <c r="I29" i="9" s="1"/>
  <c r="F30" i="9"/>
  <c r="H30" i="9" s="1"/>
  <c r="I30" i="9" s="1"/>
  <c r="F31" i="9"/>
  <c r="H31" i="9" s="1"/>
  <c r="I31" i="9" s="1"/>
  <c r="F32" i="9"/>
  <c r="H32" i="9" s="1"/>
  <c r="I32" i="9" s="1"/>
  <c r="F33" i="9"/>
  <c r="H33" i="9" s="1"/>
  <c r="I33" i="9" s="1"/>
  <c r="F34" i="9"/>
  <c r="H34" i="9" s="1"/>
  <c r="I34" i="9" s="1"/>
  <c r="F35" i="9"/>
  <c r="H35" i="9" s="1"/>
  <c r="I35" i="9" s="1"/>
  <c r="F36" i="9"/>
  <c r="H36" i="9" s="1"/>
  <c r="I36" i="9" s="1"/>
  <c r="F37" i="9"/>
  <c r="H37" i="9" s="1"/>
  <c r="I37" i="9" s="1"/>
  <c r="F38" i="9"/>
  <c r="H38" i="9" s="1"/>
  <c r="I38" i="9" s="1"/>
  <c r="F39" i="9"/>
  <c r="H39" i="9" s="1"/>
  <c r="I39" i="9" s="1"/>
  <c r="F40" i="9"/>
  <c r="H40" i="9" s="1"/>
  <c r="I40" i="9" s="1"/>
  <c r="F41" i="9"/>
  <c r="H41" i="9" s="1"/>
  <c r="I41" i="9" s="1"/>
  <c r="F42" i="9"/>
  <c r="H42" i="9" s="1"/>
  <c r="I42" i="9" s="1"/>
  <c r="F43" i="9"/>
  <c r="H43" i="9" s="1"/>
  <c r="I43" i="9" s="1"/>
  <c r="F44" i="9"/>
  <c r="H44" i="9" s="1"/>
  <c r="I44" i="9" s="1"/>
  <c r="F45" i="9"/>
  <c r="H45" i="9" s="1"/>
  <c r="I45" i="9" s="1"/>
  <c r="F46" i="9"/>
  <c r="H46" i="9" s="1"/>
  <c r="I46" i="9" s="1"/>
  <c r="F47" i="9"/>
  <c r="H47" i="9" s="1"/>
  <c r="I47" i="9" s="1"/>
  <c r="F48" i="9"/>
  <c r="H48" i="9" s="1"/>
  <c r="I48" i="9" s="1"/>
  <c r="F49" i="9"/>
  <c r="H49" i="9" s="1"/>
  <c r="I49" i="9" s="1"/>
  <c r="F50" i="9"/>
  <c r="H50" i="9" s="1"/>
  <c r="I50" i="9" s="1"/>
  <c r="F51" i="9"/>
  <c r="H51" i="9" s="1"/>
  <c r="I51" i="9" s="1"/>
  <c r="F2" i="9"/>
  <c r="H2" i="9" s="1"/>
  <c r="I2" i="9" s="1"/>
  <c r="B4" i="9"/>
  <c r="B5" i="9"/>
  <c r="B6" i="9"/>
  <c r="B7" i="9"/>
  <c r="B8" i="9"/>
  <c r="B9" i="9"/>
  <c r="B10" i="9"/>
  <c r="B11" i="9"/>
  <c r="B12" i="9"/>
  <c r="B13" i="9"/>
  <c r="B14" i="9"/>
  <c r="B15" i="9"/>
  <c r="B16" i="9"/>
  <c r="B17" i="9"/>
  <c r="B18" i="9"/>
  <c r="B19" i="9"/>
  <c r="B20" i="9"/>
  <c r="B21" i="9"/>
  <c r="B22" i="9"/>
  <c r="B23" i="9"/>
  <c r="B24" i="9"/>
  <c r="B25" i="9"/>
  <c r="B26" i="9"/>
  <c r="B27" i="9"/>
  <c r="B28" i="9"/>
  <c r="B29" i="9"/>
  <c r="B30" i="9"/>
  <c r="B31" i="9"/>
  <c r="B32" i="9"/>
  <c r="B33" i="9"/>
  <c r="B34" i="9"/>
  <c r="B35" i="9"/>
  <c r="B36" i="9"/>
  <c r="B37" i="9"/>
  <c r="B38" i="9"/>
  <c r="B39" i="9"/>
  <c r="B40" i="9"/>
  <c r="B41" i="9"/>
  <c r="B42" i="9"/>
  <c r="B43" i="9"/>
  <c r="B44" i="9"/>
  <c r="B45" i="9"/>
  <c r="B46" i="9"/>
  <c r="B47" i="9"/>
  <c r="B48" i="9"/>
  <c r="B49" i="9"/>
  <c r="B50" i="9"/>
  <c r="B51" i="9"/>
  <c r="H7" i="6"/>
  <c r="F3" i="13"/>
  <c r="I3" i="13" s="1"/>
  <c r="F4" i="13"/>
  <c r="I4" i="13" s="1"/>
  <c r="F5" i="13"/>
  <c r="I5" i="13" s="1"/>
  <c r="F6" i="13"/>
  <c r="I6" i="13" s="1"/>
  <c r="F7" i="13"/>
  <c r="I7" i="13" s="1"/>
  <c r="F8" i="13"/>
  <c r="I8" i="13" s="1"/>
  <c r="F9" i="13"/>
  <c r="I9" i="13" s="1"/>
  <c r="F10" i="13"/>
  <c r="I10" i="13" s="1"/>
  <c r="F11" i="13"/>
  <c r="I11" i="13" s="1"/>
  <c r="F12" i="13"/>
  <c r="I12" i="13" s="1"/>
  <c r="F13" i="13"/>
  <c r="I13" i="13" s="1"/>
  <c r="F14" i="13"/>
  <c r="F15" i="13"/>
  <c r="I15" i="13" s="1"/>
  <c r="F16" i="13"/>
  <c r="I16" i="13" s="1"/>
  <c r="F17" i="13"/>
  <c r="I17" i="13" s="1"/>
  <c r="F18" i="13"/>
  <c r="I18" i="13" s="1"/>
  <c r="F19" i="13"/>
  <c r="I19" i="13" s="1"/>
  <c r="F20" i="13"/>
  <c r="I20" i="13" s="1"/>
  <c r="F21" i="13"/>
  <c r="I21" i="13" s="1"/>
  <c r="F22" i="13"/>
  <c r="I22" i="13" s="1"/>
  <c r="F23" i="13"/>
  <c r="I23" i="13" s="1"/>
  <c r="F24" i="13"/>
  <c r="I24" i="13" s="1"/>
  <c r="F25" i="13"/>
  <c r="I25" i="13" s="1"/>
  <c r="F26" i="13"/>
  <c r="I26" i="13" s="1"/>
  <c r="F27" i="13"/>
  <c r="I27" i="13" s="1"/>
  <c r="F28" i="13"/>
  <c r="I28" i="13" s="1"/>
  <c r="F29" i="13"/>
  <c r="I29" i="13" s="1"/>
  <c r="F30" i="13"/>
  <c r="I30" i="13" s="1"/>
  <c r="F31" i="13"/>
  <c r="I31" i="13" s="1"/>
  <c r="F32" i="13"/>
  <c r="I32" i="13" s="1"/>
  <c r="F33" i="13"/>
  <c r="I33" i="13" s="1"/>
  <c r="F34" i="13"/>
  <c r="I34" i="13" s="1"/>
  <c r="F35" i="13"/>
  <c r="I35" i="13" s="1"/>
  <c r="F36" i="13"/>
  <c r="I36" i="13" s="1"/>
  <c r="F37" i="13"/>
  <c r="I37" i="13" s="1"/>
  <c r="F38" i="13"/>
  <c r="I38" i="13" s="1"/>
  <c r="F39" i="13"/>
  <c r="I39" i="13" s="1"/>
  <c r="F40" i="13"/>
  <c r="I40" i="13" s="1"/>
  <c r="F41" i="13"/>
  <c r="I41" i="13" s="1"/>
  <c r="F42" i="13"/>
  <c r="I42" i="13" s="1"/>
  <c r="F43" i="13"/>
  <c r="I43" i="13" s="1"/>
  <c r="F44" i="13"/>
  <c r="I44" i="13" s="1"/>
  <c r="F45" i="13"/>
  <c r="I45" i="13" s="1"/>
  <c r="F46" i="13"/>
  <c r="I46" i="13" s="1"/>
  <c r="F47" i="13"/>
  <c r="I47" i="13" s="1"/>
  <c r="F48" i="13"/>
  <c r="I48" i="13" s="1"/>
  <c r="F49" i="13"/>
  <c r="I49" i="13" s="1"/>
  <c r="F50" i="13"/>
  <c r="I50" i="13" s="1"/>
  <c r="F51" i="13"/>
  <c r="I51" i="13" s="1"/>
  <c r="F52" i="13"/>
  <c r="I52" i="13" s="1"/>
  <c r="F53" i="13"/>
  <c r="I53" i="13" s="1"/>
  <c r="F54" i="13"/>
  <c r="I54" i="13" s="1"/>
  <c r="F55" i="13"/>
  <c r="I55" i="13" s="1"/>
  <c r="F56" i="13"/>
  <c r="I56" i="13" s="1"/>
  <c r="F57" i="13"/>
  <c r="I57" i="13" s="1"/>
  <c r="F58" i="13"/>
  <c r="I58" i="13" s="1"/>
  <c r="F59" i="13"/>
  <c r="I59" i="13" s="1"/>
  <c r="F60" i="13"/>
  <c r="I60" i="13" s="1"/>
  <c r="F61" i="13"/>
  <c r="I61" i="13" s="1"/>
  <c r="F62" i="13"/>
  <c r="I62" i="13" s="1"/>
  <c r="F63" i="13"/>
  <c r="I63" i="13" s="1"/>
  <c r="F64" i="13"/>
  <c r="I64" i="13" s="1"/>
  <c r="F65" i="13"/>
  <c r="I65" i="13" s="1"/>
  <c r="F66" i="13"/>
  <c r="I66" i="13" s="1"/>
  <c r="F67" i="13"/>
  <c r="I67" i="13" s="1"/>
  <c r="F68" i="13"/>
  <c r="I68" i="13" s="1"/>
  <c r="F69" i="13"/>
  <c r="I69" i="13" s="1"/>
  <c r="F70" i="13"/>
  <c r="I70" i="13" s="1"/>
  <c r="F71" i="13"/>
  <c r="I71" i="13" s="1"/>
  <c r="F72" i="13"/>
  <c r="I72" i="13" s="1"/>
  <c r="F73" i="13"/>
  <c r="I73" i="13" s="1"/>
  <c r="F74" i="13"/>
  <c r="I74" i="13" s="1"/>
  <c r="F75" i="13"/>
  <c r="I75" i="13" s="1"/>
  <c r="F76" i="13"/>
  <c r="I76" i="13" s="1"/>
  <c r="F77" i="13"/>
  <c r="I77" i="13" s="1"/>
  <c r="F78" i="13"/>
  <c r="I78" i="13" s="1"/>
  <c r="F79" i="13"/>
  <c r="I79" i="13" s="1"/>
  <c r="F80" i="13"/>
  <c r="I80" i="13" s="1"/>
  <c r="F81" i="13"/>
  <c r="I81" i="13" s="1"/>
  <c r="F82" i="13"/>
  <c r="I82" i="13" s="1"/>
  <c r="F83" i="13"/>
  <c r="I83" i="13" s="1"/>
  <c r="F84" i="13"/>
  <c r="F85" i="13"/>
  <c r="I85" i="13" s="1"/>
  <c r="F86" i="13"/>
  <c r="I86" i="13" s="1"/>
  <c r="F87" i="13"/>
  <c r="I87" i="13" s="1"/>
  <c r="F88" i="13"/>
  <c r="I88" i="13" s="1"/>
  <c r="F89" i="13"/>
  <c r="I89" i="13" s="1"/>
  <c r="F90" i="13"/>
  <c r="I90" i="13" s="1"/>
  <c r="F91" i="13"/>
  <c r="I91" i="13" s="1"/>
  <c r="F92" i="13"/>
  <c r="I92" i="13" s="1"/>
  <c r="F93" i="13"/>
  <c r="F94" i="13"/>
  <c r="I94" i="13" s="1"/>
  <c r="F95" i="13"/>
  <c r="I95" i="13" s="1"/>
  <c r="F96" i="13"/>
  <c r="I96" i="13" s="1"/>
  <c r="F97" i="13"/>
  <c r="I97" i="13" s="1"/>
  <c r="F98" i="13"/>
  <c r="I98" i="13" s="1"/>
  <c r="F99" i="13"/>
  <c r="I99" i="13" s="1"/>
  <c r="F100" i="13"/>
  <c r="I100" i="13" s="1"/>
  <c r="F101" i="13"/>
  <c r="I101" i="13" s="1"/>
  <c r="F102" i="13"/>
  <c r="I102" i="13" s="1"/>
  <c r="F103" i="13"/>
  <c r="I103" i="13" s="1"/>
  <c r="F104" i="13"/>
  <c r="I104" i="13" s="1"/>
  <c r="F105" i="13"/>
  <c r="I105" i="13" s="1"/>
  <c r="F106" i="13"/>
  <c r="I106" i="13" s="1"/>
  <c r="F107" i="13"/>
  <c r="I107" i="13" s="1"/>
  <c r="F108" i="13"/>
  <c r="I108" i="13" s="1"/>
  <c r="F2" i="13"/>
  <c r="I2" i="13" s="1"/>
  <c r="C3" i="13"/>
  <c r="J3" i="13" s="1"/>
  <c r="C4" i="13"/>
  <c r="J4" i="13" s="1"/>
  <c r="C5" i="13"/>
  <c r="J5" i="13" s="1"/>
  <c r="C6" i="13"/>
  <c r="E6" i="13" s="1"/>
  <c r="C7" i="13"/>
  <c r="C8" i="13"/>
  <c r="E8" i="13" s="1"/>
  <c r="C9" i="13"/>
  <c r="J9" i="13" s="1"/>
  <c r="C10" i="13"/>
  <c r="E10" i="13" s="1"/>
  <c r="C11" i="13"/>
  <c r="E11" i="13" s="1"/>
  <c r="C12" i="13"/>
  <c r="E12" i="13" s="1"/>
  <c r="C13" i="13"/>
  <c r="E13" i="13" s="1"/>
  <c r="C14" i="13"/>
  <c r="J14" i="13" s="1"/>
  <c r="C15" i="13"/>
  <c r="E15" i="13" s="1"/>
  <c r="C16" i="13"/>
  <c r="E16" i="13" s="1"/>
  <c r="C17" i="13"/>
  <c r="E17" i="13" s="1"/>
  <c r="C18" i="13"/>
  <c r="E18" i="13" s="1"/>
  <c r="C19" i="13"/>
  <c r="J19" i="13" s="1"/>
  <c r="C20" i="13"/>
  <c r="E20" i="13" s="1"/>
  <c r="C21" i="13"/>
  <c r="E21" i="13" s="1"/>
  <c r="C22" i="13"/>
  <c r="J22" i="13" s="1"/>
  <c r="C23" i="13"/>
  <c r="E23" i="13" s="1"/>
  <c r="C24" i="13"/>
  <c r="J24" i="13" s="1"/>
  <c r="C25" i="13"/>
  <c r="E25" i="13" s="1"/>
  <c r="C26" i="13"/>
  <c r="E26" i="13" s="1"/>
  <c r="C27" i="13"/>
  <c r="J27" i="13" s="1"/>
  <c r="C28" i="13"/>
  <c r="E28" i="13" s="1"/>
  <c r="C29" i="13"/>
  <c r="J29" i="13" s="1"/>
  <c r="C30" i="13"/>
  <c r="E30" i="13" s="1"/>
  <c r="C31" i="13"/>
  <c r="E31" i="13" s="1"/>
  <c r="C32" i="13"/>
  <c r="J32" i="13" s="1"/>
  <c r="C33" i="13"/>
  <c r="J33" i="13" s="1"/>
  <c r="C34" i="13"/>
  <c r="J34" i="13" s="1"/>
  <c r="C35" i="13"/>
  <c r="J35" i="13" s="1"/>
  <c r="C36" i="13"/>
  <c r="J36" i="13" s="1"/>
  <c r="C37" i="13"/>
  <c r="J37" i="13" s="1"/>
  <c r="C38" i="13"/>
  <c r="J38" i="13" s="1"/>
  <c r="C39" i="13"/>
  <c r="J39" i="13" s="1"/>
  <c r="C40" i="13"/>
  <c r="J40" i="13" s="1"/>
  <c r="C41" i="13"/>
  <c r="J41" i="13" s="1"/>
  <c r="C42" i="13"/>
  <c r="J42" i="13" s="1"/>
  <c r="C43" i="13"/>
  <c r="J43" i="13" s="1"/>
  <c r="C44" i="13"/>
  <c r="J44" i="13" s="1"/>
  <c r="C45" i="13"/>
  <c r="J45" i="13" s="1"/>
  <c r="C46" i="13"/>
  <c r="J46" i="13" s="1"/>
  <c r="C47" i="13"/>
  <c r="E47" i="13" s="1"/>
  <c r="C48" i="13"/>
  <c r="J48" i="13" s="1"/>
  <c r="C49" i="13"/>
  <c r="E49" i="13" s="1"/>
  <c r="C50" i="13"/>
  <c r="E50" i="13" s="1"/>
  <c r="C51" i="13"/>
  <c r="E51" i="13" s="1"/>
  <c r="C52" i="13"/>
  <c r="E52" i="13" s="1"/>
  <c r="C53" i="13"/>
  <c r="J53" i="13" s="1"/>
  <c r="C54" i="13"/>
  <c r="E54" i="13" s="1"/>
  <c r="C55" i="13"/>
  <c r="J55" i="13" s="1"/>
  <c r="C56" i="13"/>
  <c r="J56" i="13" s="1"/>
  <c r="C57" i="13"/>
  <c r="J57" i="13" s="1"/>
  <c r="C58" i="13"/>
  <c r="J58" i="13" s="1"/>
  <c r="C59" i="13"/>
  <c r="J59" i="13" s="1"/>
  <c r="C60" i="13"/>
  <c r="J60" i="13" s="1"/>
  <c r="C61" i="13"/>
  <c r="E61" i="13" s="1"/>
  <c r="C62" i="13"/>
  <c r="E62" i="13" s="1"/>
  <c r="C63" i="13"/>
  <c r="J63" i="13" s="1"/>
  <c r="C64" i="13"/>
  <c r="E64" i="13" s="1"/>
  <c r="C65" i="13"/>
  <c r="J65" i="13" s="1"/>
  <c r="C66" i="13"/>
  <c r="J66" i="13" s="1"/>
  <c r="C67" i="13"/>
  <c r="E67" i="13" s="1"/>
  <c r="C68" i="13"/>
  <c r="J68" i="13" s="1"/>
  <c r="C69" i="13"/>
  <c r="E69" i="13" s="1"/>
  <c r="C70" i="13"/>
  <c r="J70" i="13" s="1"/>
  <c r="C71" i="13"/>
  <c r="E71" i="13" s="1"/>
  <c r="C72" i="13"/>
  <c r="J72" i="13" s="1"/>
  <c r="C73" i="13"/>
  <c r="J73" i="13" s="1"/>
  <c r="C74" i="13"/>
  <c r="J74" i="13" s="1"/>
  <c r="C75" i="13"/>
  <c r="J75" i="13" s="1"/>
  <c r="C76" i="13"/>
  <c r="E76" i="13" s="1"/>
  <c r="C77" i="13"/>
  <c r="E77" i="13" s="1"/>
  <c r="C78" i="13"/>
  <c r="E78" i="13" s="1"/>
  <c r="C79" i="13"/>
  <c r="J79" i="13" s="1"/>
  <c r="C80" i="13"/>
  <c r="E80" i="13" s="1"/>
  <c r="C81" i="13"/>
  <c r="E81" i="13" s="1"/>
  <c r="C82" i="13"/>
  <c r="J82" i="13" s="1"/>
  <c r="C83" i="13"/>
  <c r="J83" i="13" s="1"/>
  <c r="C84" i="13"/>
  <c r="J84" i="13" s="1"/>
  <c r="C85" i="13"/>
  <c r="J85" i="13" s="1"/>
  <c r="C86" i="13"/>
  <c r="E86" i="13" s="1"/>
  <c r="C87" i="13"/>
  <c r="J87" i="13" s="1"/>
  <c r="C88" i="13"/>
  <c r="J88" i="13" s="1"/>
  <c r="C89" i="13"/>
  <c r="J89" i="13" s="1"/>
  <c r="C90" i="13"/>
  <c r="J90" i="13" s="1"/>
  <c r="C91" i="13"/>
  <c r="J91" i="13" s="1"/>
  <c r="C92" i="13"/>
  <c r="J92" i="13" s="1"/>
  <c r="C93" i="13"/>
  <c r="J93" i="13" s="1"/>
  <c r="C94" i="13"/>
  <c r="C95" i="13"/>
  <c r="E95" i="13" s="1"/>
  <c r="C96" i="13"/>
  <c r="E96" i="13" s="1"/>
  <c r="C97" i="13"/>
  <c r="J97" i="13" s="1"/>
  <c r="C98" i="13"/>
  <c r="J98" i="13" s="1"/>
  <c r="C99" i="13"/>
  <c r="J99" i="13" s="1"/>
  <c r="C100" i="13"/>
  <c r="J100" i="13" s="1"/>
  <c r="C101" i="13"/>
  <c r="J101" i="13" s="1"/>
  <c r="C102" i="13"/>
  <c r="J102" i="13" s="1"/>
  <c r="C103" i="13"/>
  <c r="J103" i="13" s="1"/>
  <c r="C104" i="13"/>
  <c r="J104" i="13" s="1"/>
  <c r="C105" i="13"/>
  <c r="J105" i="13" s="1"/>
  <c r="C106" i="13"/>
  <c r="J106" i="13" s="1"/>
  <c r="C107" i="13"/>
  <c r="J107" i="13" s="1"/>
  <c r="C108" i="13"/>
  <c r="J108" i="13" s="1"/>
  <c r="C2" i="13"/>
  <c r="J2" i="13" s="1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2" i="13"/>
  <c r="B23" i="13"/>
  <c r="B24" i="13"/>
  <c r="B25" i="13"/>
  <c r="B26" i="13"/>
  <c r="B27" i="13"/>
  <c r="B28" i="13"/>
  <c r="B29" i="13"/>
  <c r="B30" i="13"/>
  <c r="B31" i="13"/>
  <c r="B32" i="13"/>
  <c r="B33" i="13"/>
  <c r="B34" i="13"/>
  <c r="B35" i="13"/>
  <c r="B36" i="13"/>
  <c r="B37" i="13"/>
  <c r="B38" i="13"/>
  <c r="B39" i="13"/>
  <c r="B40" i="13"/>
  <c r="B41" i="13"/>
  <c r="B42" i="13"/>
  <c r="B43" i="13"/>
  <c r="B44" i="13"/>
  <c r="B45" i="13"/>
  <c r="B46" i="13"/>
  <c r="B47" i="13"/>
  <c r="B48" i="13"/>
  <c r="B49" i="13"/>
  <c r="B50" i="13"/>
  <c r="B51" i="13"/>
  <c r="B52" i="13"/>
  <c r="B53" i="13"/>
  <c r="B54" i="13"/>
  <c r="B55" i="13"/>
  <c r="B56" i="13"/>
  <c r="B57" i="13"/>
  <c r="B58" i="13"/>
  <c r="B59" i="13"/>
  <c r="B60" i="13"/>
  <c r="B61" i="13"/>
  <c r="B62" i="13"/>
  <c r="B63" i="13"/>
  <c r="B64" i="13"/>
  <c r="B65" i="13"/>
  <c r="B66" i="13"/>
  <c r="B67" i="13"/>
  <c r="B68" i="13"/>
  <c r="B69" i="13"/>
  <c r="B70" i="13"/>
  <c r="B71" i="13"/>
  <c r="B72" i="13"/>
  <c r="B73" i="13"/>
  <c r="B74" i="13"/>
  <c r="B75" i="13"/>
  <c r="B76" i="13"/>
  <c r="B77" i="13"/>
  <c r="B78" i="13"/>
  <c r="B79" i="13"/>
  <c r="B80" i="13"/>
  <c r="B81" i="13"/>
  <c r="B82" i="13"/>
  <c r="B83" i="13"/>
  <c r="B84" i="13"/>
  <c r="B85" i="13"/>
  <c r="B86" i="13"/>
  <c r="B87" i="13"/>
  <c r="B88" i="13"/>
  <c r="B89" i="13"/>
  <c r="B90" i="13"/>
  <c r="B91" i="13"/>
  <c r="B92" i="13"/>
  <c r="B93" i="13"/>
  <c r="B94" i="13"/>
  <c r="B95" i="13"/>
  <c r="B96" i="13"/>
  <c r="B97" i="13"/>
  <c r="B98" i="13"/>
  <c r="B99" i="13"/>
  <c r="B100" i="13"/>
  <c r="B101" i="13"/>
  <c r="B102" i="13"/>
  <c r="B103" i="13"/>
  <c r="B104" i="13"/>
  <c r="B105" i="13"/>
  <c r="B106" i="13"/>
  <c r="B107" i="13"/>
  <c r="B108" i="13"/>
  <c r="B2" i="13"/>
  <c r="A3" i="13"/>
  <c r="A4" i="13"/>
  <c r="A5" i="13"/>
  <c r="A6" i="13"/>
  <c r="A7" i="13"/>
  <c r="A8" i="13"/>
  <c r="A9" i="13"/>
  <c r="A10" i="13"/>
  <c r="A11" i="13"/>
  <c r="A12" i="13"/>
  <c r="A13" i="13"/>
  <c r="A14" i="13"/>
  <c r="A15" i="13"/>
  <c r="A16" i="13"/>
  <c r="A17" i="13"/>
  <c r="A18" i="13"/>
  <c r="A19" i="13"/>
  <c r="A20" i="13"/>
  <c r="A21" i="13"/>
  <c r="A22" i="13"/>
  <c r="A23" i="13"/>
  <c r="A24" i="13"/>
  <c r="A25" i="13"/>
  <c r="A26" i="13"/>
  <c r="A27" i="13"/>
  <c r="A28" i="13"/>
  <c r="A29" i="13"/>
  <c r="A30" i="13"/>
  <c r="A31" i="13"/>
  <c r="A32" i="13"/>
  <c r="A33" i="13"/>
  <c r="A34" i="13"/>
  <c r="A35" i="13"/>
  <c r="A36" i="13"/>
  <c r="A37" i="13"/>
  <c r="A38" i="13"/>
  <c r="A39" i="13"/>
  <c r="A40" i="13"/>
  <c r="A41" i="13"/>
  <c r="A42" i="13"/>
  <c r="A43" i="13"/>
  <c r="A44" i="13"/>
  <c r="A45" i="13"/>
  <c r="A46" i="13"/>
  <c r="A47" i="13"/>
  <c r="A48" i="13"/>
  <c r="A49" i="13"/>
  <c r="A50" i="13"/>
  <c r="A51" i="13"/>
  <c r="A52" i="13"/>
  <c r="A53" i="13"/>
  <c r="A54" i="13"/>
  <c r="A55" i="13"/>
  <c r="A56" i="13"/>
  <c r="A57" i="13"/>
  <c r="A58" i="13"/>
  <c r="A59" i="13"/>
  <c r="A60" i="13"/>
  <c r="A61" i="13"/>
  <c r="A62" i="13"/>
  <c r="A63" i="13"/>
  <c r="A64" i="13"/>
  <c r="A65" i="13"/>
  <c r="A66" i="13"/>
  <c r="A67" i="13"/>
  <c r="A68" i="13"/>
  <c r="A69" i="13"/>
  <c r="A70" i="13"/>
  <c r="A71" i="13"/>
  <c r="A72" i="13"/>
  <c r="A73" i="13"/>
  <c r="A74" i="13"/>
  <c r="A75" i="13"/>
  <c r="A76" i="13"/>
  <c r="A77" i="13"/>
  <c r="A78" i="13"/>
  <c r="A79" i="13"/>
  <c r="A80" i="13"/>
  <c r="A81" i="13"/>
  <c r="A82" i="13"/>
  <c r="A83" i="13"/>
  <c r="A84" i="13"/>
  <c r="A85" i="13"/>
  <c r="A86" i="13"/>
  <c r="A87" i="13"/>
  <c r="A88" i="13"/>
  <c r="A89" i="13"/>
  <c r="A90" i="13"/>
  <c r="A91" i="13"/>
  <c r="A92" i="13"/>
  <c r="A93" i="13"/>
  <c r="A94" i="13"/>
  <c r="A95" i="13"/>
  <c r="A96" i="13"/>
  <c r="A97" i="13"/>
  <c r="A98" i="13"/>
  <c r="A99" i="13"/>
  <c r="A100" i="13"/>
  <c r="A101" i="13"/>
  <c r="A102" i="13"/>
  <c r="A103" i="13"/>
  <c r="A104" i="13"/>
  <c r="A105" i="13"/>
  <c r="A106" i="13"/>
  <c r="A107" i="13"/>
  <c r="A108" i="13"/>
  <c r="A2" i="13"/>
  <c r="G2" i="13"/>
  <c r="G6" i="13"/>
  <c r="E7" i="13"/>
  <c r="I14" i="13"/>
  <c r="G96" i="13"/>
  <c r="G97" i="13"/>
  <c r="N26" i="9"/>
  <c r="M4" i="9"/>
  <c r="J4" i="9"/>
  <c r="N3" i="9"/>
  <c r="N105" i="1"/>
  <c r="H112" i="1"/>
  <c r="I112" i="1" s="1"/>
  <c r="H111" i="1"/>
  <c r="I111" i="1" s="1"/>
  <c r="H110" i="1"/>
  <c r="I110" i="1" s="1"/>
  <c r="H109" i="1"/>
  <c r="I109" i="1" s="1"/>
  <c r="H108" i="1"/>
  <c r="I108" i="1" s="1"/>
  <c r="H107" i="1"/>
  <c r="I107" i="1" s="1"/>
  <c r="H106" i="1"/>
  <c r="I106" i="1" s="1"/>
  <c r="M105" i="1"/>
  <c r="J105" i="1"/>
  <c r="H105" i="1"/>
  <c r="I105" i="1" s="1"/>
  <c r="H104" i="1"/>
  <c r="I104" i="1" s="1"/>
  <c r="N104" i="1"/>
  <c r="M104" i="1"/>
  <c r="J104" i="1"/>
  <c r="N103" i="1"/>
  <c r="M103" i="1"/>
  <c r="J103" i="1"/>
  <c r="H103" i="1"/>
  <c r="I103" i="1" s="1"/>
  <c r="H102" i="1"/>
  <c r="I102" i="1" s="1"/>
  <c r="M102" i="1"/>
  <c r="N102" i="1"/>
  <c r="H101" i="1"/>
  <c r="I101" i="1" s="1"/>
  <c r="J101" i="1"/>
  <c r="L101" i="1"/>
  <c r="M101" i="1"/>
  <c r="N101" i="1"/>
  <c r="H100" i="1"/>
  <c r="I100" i="1" s="1"/>
  <c r="J100" i="1"/>
  <c r="L100" i="1"/>
  <c r="M100" i="1"/>
  <c r="N100" i="1"/>
  <c r="L99" i="1"/>
  <c r="J99" i="1"/>
  <c r="J97" i="1"/>
  <c r="H99" i="1"/>
  <c r="I99" i="1" s="1"/>
  <c r="M99" i="1"/>
  <c r="N99" i="1"/>
  <c r="H107" i="9"/>
  <c r="I107" i="9" s="1"/>
  <c r="H106" i="9"/>
  <c r="I106" i="9" s="1"/>
  <c r="H105" i="9"/>
  <c r="I105" i="9" s="1"/>
  <c r="H104" i="9"/>
  <c r="I104" i="9" s="1"/>
  <c r="H103" i="9"/>
  <c r="I103" i="9" s="1"/>
  <c r="H102" i="9"/>
  <c r="I102" i="9" s="1"/>
  <c r="H101" i="9"/>
  <c r="I101" i="9" s="1"/>
  <c r="H100" i="9"/>
  <c r="I100" i="9" s="1"/>
  <c r="H99" i="9"/>
  <c r="I99" i="9" s="1"/>
  <c r="H98" i="9"/>
  <c r="I98" i="9" s="1"/>
  <c r="H97" i="9"/>
  <c r="I97" i="9" s="1"/>
  <c r="H96" i="9"/>
  <c r="I96" i="9" s="1"/>
  <c r="H95" i="9"/>
  <c r="I95" i="9" s="1"/>
  <c r="H94" i="9"/>
  <c r="I94" i="9" s="1"/>
  <c r="H93" i="9"/>
  <c r="I93" i="9" s="1"/>
  <c r="H92" i="9"/>
  <c r="I92" i="9" s="1"/>
  <c r="H91" i="9"/>
  <c r="I91" i="9" s="1"/>
  <c r="H90" i="9"/>
  <c r="I90" i="9" s="1"/>
  <c r="H89" i="9"/>
  <c r="I89" i="9" s="1"/>
  <c r="H88" i="9"/>
  <c r="I88" i="9" s="1"/>
  <c r="H87" i="9"/>
  <c r="I87" i="9" s="1"/>
  <c r="H86" i="9"/>
  <c r="I86" i="9" s="1"/>
  <c r="H85" i="9"/>
  <c r="I85" i="9" s="1"/>
  <c r="H84" i="9"/>
  <c r="I84" i="9" s="1"/>
  <c r="H83" i="9"/>
  <c r="I83" i="9" s="1"/>
  <c r="H82" i="9"/>
  <c r="I82" i="9" s="1"/>
  <c r="H81" i="9"/>
  <c r="I81" i="9" s="1"/>
  <c r="H80" i="9"/>
  <c r="I80" i="9" s="1"/>
  <c r="H79" i="9"/>
  <c r="I79" i="9" s="1"/>
  <c r="H78" i="9"/>
  <c r="I78" i="9" s="1"/>
  <c r="H77" i="9"/>
  <c r="I77" i="9" s="1"/>
  <c r="H76" i="9"/>
  <c r="I76" i="9" s="1"/>
  <c r="H57" i="1"/>
  <c r="I57" i="1" s="1"/>
  <c r="H33" i="6"/>
  <c r="I33" i="6" s="1"/>
  <c r="N21" i="1"/>
  <c r="N18" i="1"/>
  <c r="M16" i="1"/>
  <c r="H95" i="1"/>
  <c r="I95" i="1" s="1"/>
  <c r="J95" i="1"/>
  <c r="M95" i="1"/>
  <c r="N95" i="1"/>
  <c r="J98" i="1"/>
  <c r="H98" i="1"/>
  <c r="I98" i="1" s="1"/>
  <c r="M98" i="1"/>
  <c r="N98" i="1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" i="5"/>
  <c r="N97" i="1"/>
  <c r="N31" i="1"/>
  <c r="N30" i="1"/>
  <c r="N29" i="1"/>
  <c r="N28" i="1"/>
  <c r="N27" i="1"/>
  <c r="N26" i="1"/>
  <c r="N25" i="1"/>
  <c r="N24" i="1"/>
  <c r="N23" i="1"/>
  <c r="N22" i="1"/>
  <c r="N20" i="1"/>
  <c r="N19" i="1"/>
  <c r="N17" i="1"/>
  <c r="N16" i="1"/>
  <c r="N15" i="1"/>
  <c r="N14" i="1"/>
  <c r="N13" i="1"/>
  <c r="N12" i="1"/>
  <c r="N11" i="1"/>
  <c r="N10" i="1"/>
  <c r="N9" i="1"/>
  <c r="N8" i="1"/>
  <c r="N43" i="1"/>
  <c r="N42" i="1"/>
  <c r="N54" i="1"/>
  <c r="N53" i="1"/>
  <c r="N52" i="1"/>
  <c r="N51" i="1"/>
  <c r="N50" i="1"/>
  <c r="N49" i="1"/>
  <c r="N48" i="1"/>
  <c r="N47" i="1"/>
  <c r="N46" i="1"/>
  <c r="N72" i="1"/>
  <c r="N71" i="1"/>
  <c r="N70" i="1"/>
  <c r="N69" i="1"/>
  <c r="N68" i="1"/>
  <c r="N67" i="1"/>
  <c r="N66" i="1"/>
  <c r="N65" i="1"/>
  <c r="N64" i="1"/>
  <c r="N63" i="1"/>
  <c r="N62" i="1"/>
  <c r="N61" i="1"/>
  <c r="N60" i="1"/>
  <c r="N81" i="1"/>
  <c r="N80" i="1"/>
  <c r="N79" i="1"/>
  <c r="N78" i="1"/>
  <c r="N77" i="1"/>
  <c r="N76" i="1"/>
  <c r="N94" i="1"/>
  <c r="N93" i="1"/>
  <c r="N92" i="1"/>
  <c r="N91" i="1"/>
  <c r="N90" i="1"/>
  <c r="N89" i="1"/>
  <c r="N87" i="1"/>
  <c r="N86" i="1"/>
  <c r="N85" i="1"/>
  <c r="N96" i="1"/>
  <c r="J19" i="1"/>
  <c r="J20" i="1"/>
  <c r="J21" i="1"/>
  <c r="J22" i="1"/>
  <c r="J23" i="1"/>
  <c r="J24" i="1"/>
  <c r="J25" i="1"/>
  <c r="J26" i="1"/>
  <c r="J27" i="1"/>
  <c r="J28" i="1"/>
  <c r="J30" i="1"/>
  <c r="J29" i="1"/>
  <c r="J43" i="1"/>
  <c r="J42" i="1"/>
  <c r="J49" i="1"/>
  <c r="J51" i="1"/>
  <c r="J54" i="1"/>
  <c r="J53" i="1"/>
  <c r="J60" i="1"/>
  <c r="J63" i="1"/>
  <c r="J62" i="1"/>
  <c r="J72" i="1"/>
  <c r="J76" i="1"/>
  <c r="J81" i="1"/>
  <c r="J80" i="1"/>
  <c r="J79" i="1"/>
  <c r="J78" i="1"/>
  <c r="J92" i="1"/>
  <c r="J91" i="1"/>
  <c r="J90" i="1"/>
  <c r="J89" i="1"/>
  <c r="J87" i="1"/>
  <c r="J86" i="1"/>
  <c r="J85" i="1"/>
  <c r="J94" i="1"/>
  <c r="M62" i="1"/>
  <c r="M61" i="1"/>
  <c r="M60" i="1"/>
  <c r="M54" i="1"/>
  <c r="M53" i="1"/>
  <c r="M52" i="1"/>
  <c r="M51" i="1"/>
  <c r="M50" i="1"/>
  <c r="M49" i="1"/>
  <c r="M48" i="1"/>
  <c r="M47" i="1"/>
  <c r="M46" i="1"/>
  <c r="M43" i="1"/>
  <c r="M42" i="1"/>
  <c r="M31" i="1"/>
  <c r="M30" i="1"/>
  <c r="M29" i="1"/>
  <c r="M28" i="1"/>
  <c r="M27" i="1"/>
  <c r="M26" i="1"/>
  <c r="M25" i="1"/>
  <c r="M24" i="1"/>
  <c r="M23" i="1"/>
  <c r="M22" i="1"/>
  <c r="M21" i="1"/>
  <c r="M20" i="1"/>
  <c r="M19" i="1"/>
  <c r="M63" i="1"/>
  <c r="M64" i="1"/>
  <c r="M65" i="1"/>
  <c r="M66" i="1"/>
  <c r="M67" i="1"/>
  <c r="M72" i="1"/>
  <c r="M71" i="1"/>
  <c r="M70" i="1"/>
  <c r="M69" i="1"/>
  <c r="M68" i="1"/>
  <c r="M76" i="1"/>
  <c r="M81" i="1"/>
  <c r="M80" i="1"/>
  <c r="M79" i="1"/>
  <c r="M78" i="1"/>
  <c r="M94" i="1"/>
  <c r="M93" i="1"/>
  <c r="M92" i="1"/>
  <c r="M91" i="1"/>
  <c r="M90" i="1"/>
  <c r="M89" i="1"/>
  <c r="M87" i="1"/>
  <c r="M86" i="1"/>
  <c r="M85" i="1"/>
  <c r="J96" i="1"/>
  <c r="J93" i="1"/>
  <c r="J77" i="1"/>
  <c r="J71" i="1"/>
  <c r="J70" i="1"/>
  <c r="J69" i="1"/>
  <c r="J68" i="1"/>
  <c r="J67" i="1"/>
  <c r="J66" i="1"/>
  <c r="J65" i="1"/>
  <c r="J64" i="1"/>
  <c r="J61" i="1"/>
  <c r="J52" i="1"/>
  <c r="J50" i="1"/>
  <c r="J48" i="1"/>
  <c r="J47" i="1"/>
  <c r="J46" i="1"/>
  <c r="J31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M18" i="1"/>
  <c r="M17" i="1"/>
  <c r="M15" i="1"/>
  <c r="M14" i="1"/>
  <c r="M13" i="1"/>
  <c r="M12" i="1"/>
  <c r="M11" i="1"/>
  <c r="M10" i="1"/>
  <c r="M9" i="1"/>
  <c r="M8" i="1"/>
  <c r="M7" i="1"/>
  <c r="M6" i="1"/>
  <c r="M77" i="1"/>
  <c r="M96" i="1"/>
  <c r="M97" i="1"/>
  <c r="L18" i="1"/>
  <c r="L17" i="1"/>
  <c r="L16" i="1"/>
  <c r="L15" i="1"/>
  <c r="L14" i="1"/>
  <c r="L13" i="1"/>
  <c r="L12" i="1"/>
  <c r="L10" i="1"/>
  <c r="L9" i="1"/>
  <c r="L8" i="1"/>
  <c r="L7" i="1"/>
  <c r="L6" i="1"/>
  <c r="L31" i="1"/>
  <c r="L97" i="1"/>
  <c r="L48" i="1"/>
  <c r="L47" i="1"/>
  <c r="L46" i="1"/>
  <c r="L50" i="1"/>
  <c r="L52" i="1"/>
  <c r="L61" i="1"/>
  <c r="L67" i="1"/>
  <c r="L66" i="1"/>
  <c r="L65" i="1"/>
  <c r="L64" i="1"/>
  <c r="L71" i="1"/>
  <c r="L70" i="1"/>
  <c r="L69" i="1"/>
  <c r="L68" i="1"/>
  <c r="L77" i="1"/>
  <c r="L93" i="1"/>
  <c r="L96" i="1"/>
  <c r="H97" i="1"/>
  <c r="I97" i="1" s="1"/>
  <c r="H3" i="6"/>
  <c r="I3" i="6" s="1"/>
  <c r="H4" i="6"/>
  <c r="I4" i="6" s="1"/>
  <c r="H5" i="6"/>
  <c r="I5" i="6" s="1"/>
  <c r="H6" i="6"/>
  <c r="I6" i="6" s="1"/>
  <c r="I7" i="6"/>
  <c r="H8" i="6"/>
  <c r="I8" i="6"/>
  <c r="H9" i="6"/>
  <c r="I9" i="6"/>
  <c r="H10" i="6"/>
  <c r="I10" i="6" s="1"/>
  <c r="H11" i="6"/>
  <c r="I11" i="6" s="1"/>
  <c r="H12" i="6"/>
  <c r="I12" i="6" s="1"/>
  <c r="H13" i="6"/>
  <c r="I13" i="6" s="1"/>
  <c r="H14" i="6"/>
  <c r="I14" i="6" s="1"/>
  <c r="H15" i="6"/>
  <c r="I15" i="6" s="1"/>
  <c r="H16" i="6"/>
  <c r="I16" i="6" s="1"/>
  <c r="H17" i="6"/>
  <c r="I17" i="6" s="1"/>
  <c r="H18" i="6"/>
  <c r="I18" i="6" s="1"/>
  <c r="H19" i="6"/>
  <c r="I19" i="6" s="1"/>
  <c r="H20" i="6"/>
  <c r="I20" i="6" s="1"/>
  <c r="H21" i="6"/>
  <c r="I21" i="6"/>
  <c r="H22" i="6"/>
  <c r="I22" i="6" s="1"/>
  <c r="H23" i="6"/>
  <c r="I23" i="6" s="1"/>
  <c r="H24" i="6"/>
  <c r="I24" i="6" s="1"/>
  <c r="H25" i="6"/>
  <c r="I25" i="6" s="1"/>
  <c r="H26" i="6"/>
  <c r="I26" i="6"/>
  <c r="H27" i="6"/>
  <c r="I27" i="6"/>
  <c r="H28" i="6"/>
  <c r="I28" i="6"/>
  <c r="H29" i="6"/>
  <c r="I29" i="6"/>
  <c r="H30" i="6"/>
  <c r="I30" i="6" s="1"/>
  <c r="H31" i="6"/>
  <c r="I31" i="6" s="1"/>
  <c r="H32" i="6"/>
  <c r="I32" i="6"/>
  <c r="H34" i="6"/>
  <c r="I34" i="6"/>
  <c r="H2" i="6"/>
  <c r="I2" i="6" s="1"/>
  <c r="H96" i="1"/>
  <c r="I96" i="1" s="1"/>
  <c r="H94" i="1"/>
  <c r="I94" i="1" s="1"/>
  <c r="H93" i="1"/>
  <c r="I93" i="1" s="1"/>
  <c r="H92" i="1"/>
  <c r="I92" i="1" s="1"/>
  <c r="H80" i="1"/>
  <c r="I80" i="1" s="1"/>
  <c r="H91" i="1"/>
  <c r="I91" i="1" s="1"/>
  <c r="H90" i="1"/>
  <c r="I90" i="1" s="1"/>
  <c r="H89" i="1"/>
  <c r="I89" i="1" s="1"/>
  <c r="H87" i="1"/>
  <c r="I87" i="1" s="1"/>
  <c r="H86" i="1"/>
  <c r="I86" i="1" s="1"/>
  <c r="H85" i="1"/>
  <c r="I85" i="1" s="1"/>
  <c r="H84" i="1"/>
  <c r="I84" i="1" s="1"/>
  <c r="H83" i="1"/>
  <c r="I83" i="1" s="1"/>
  <c r="H82" i="1"/>
  <c r="I82" i="1" s="1"/>
  <c r="H81" i="1"/>
  <c r="I81" i="1" s="1"/>
  <c r="H79" i="1"/>
  <c r="I79" i="1" s="1"/>
  <c r="H78" i="1"/>
  <c r="I78" i="1" s="1"/>
  <c r="H77" i="1"/>
  <c r="I77" i="1" s="1"/>
  <c r="H13" i="1"/>
  <c r="I13" i="1" s="1"/>
  <c r="H76" i="1"/>
  <c r="I76" i="1" s="1"/>
  <c r="H75" i="1"/>
  <c r="I75" i="1" s="1"/>
  <c r="H74" i="1"/>
  <c r="I74" i="1" s="1"/>
  <c r="H73" i="1"/>
  <c r="I73" i="1" s="1"/>
  <c r="H72" i="1"/>
  <c r="I72" i="1" s="1"/>
  <c r="H71" i="1"/>
  <c r="I71" i="1" s="1"/>
  <c r="H70" i="1"/>
  <c r="I70" i="1" s="1"/>
  <c r="H69" i="1"/>
  <c r="I69" i="1" s="1"/>
  <c r="H68" i="1"/>
  <c r="I68" i="1" s="1"/>
  <c r="H67" i="1"/>
  <c r="I67" i="1" s="1"/>
  <c r="H66" i="1"/>
  <c r="I66" i="1" s="1"/>
  <c r="H65" i="1"/>
  <c r="I65" i="1" s="1"/>
  <c r="H64" i="1"/>
  <c r="I64" i="1" s="1"/>
  <c r="H2" i="1"/>
  <c r="H3" i="1"/>
  <c r="I3" i="1" s="1"/>
  <c r="H4" i="1"/>
  <c r="I4" i="1" s="1"/>
  <c r="H5" i="1"/>
  <c r="I5" i="1" s="1"/>
  <c r="H6" i="1"/>
  <c r="I6" i="1" s="1"/>
  <c r="H7" i="1"/>
  <c r="I7" i="1" s="1"/>
  <c r="H8" i="1"/>
  <c r="I8" i="1" s="1"/>
  <c r="H9" i="1"/>
  <c r="I9" i="1" s="1"/>
  <c r="H10" i="1"/>
  <c r="I10" i="1" s="1"/>
  <c r="H11" i="1"/>
  <c r="I11" i="1" s="1"/>
  <c r="H12" i="1"/>
  <c r="I12" i="1" s="1"/>
  <c r="H14" i="1"/>
  <c r="I14" i="1" s="1"/>
  <c r="H15" i="1"/>
  <c r="I15" i="1" s="1"/>
  <c r="H16" i="1"/>
  <c r="I16" i="1" s="1"/>
  <c r="H17" i="1"/>
  <c r="I17" i="1" s="1"/>
  <c r="H18" i="1"/>
  <c r="I18" i="1" s="1"/>
  <c r="H19" i="1"/>
  <c r="I19" i="1" s="1"/>
  <c r="H20" i="1"/>
  <c r="I20" i="1" s="1"/>
  <c r="H21" i="1"/>
  <c r="I21" i="1" s="1"/>
  <c r="H22" i="1"/>
  <c r="I22" i="1" s="1"/>
  <c r="H23" i="1"/>
  <c r="I23" i="1" s="1"/>
  <c r="H24" i="1"/>
  <c r="I24" i="1" s="1"/>
  <c r="H25" i="1"/>
  <c r="I25" i="1" s="1"/>
  <c r="H26" i="1"/>
  <c r="I26" i="1" s="1"/>
  <c r="H27" i="1"/>
  <c r="I27" i="1" s="1"/>
  <c r="H28" i="1"/>
  <c r="I28" i="1" s="1"/>
  <c r="H29" i="1"/>
  <c r="I29" i="1" s="1"/>
  <c r="H30" i="1"/>
  <c r="I30" i="1" s="1"/>
  <c r="H31" i="1"/>
  <c r="I31" i="1" s="1"/>
  <c r="H32" i="1"/>
  <c r="I32" i="1" s="1"/>
  <c r="H33" i="1"/>
  <c r="I33" i="1" s="1"/>
  <c r="H34" i="1"/>
  <c r="I34" i="1" s="1"/>
  <c r="H35" i="1"/>
  <c r="I35" i="1" s="1"/>
  <c r="H36" i="1"/>
  <c r="I36" i="1" s="1"/>
  <c r="H37" i="1"/>
  <c r="I37" i="1" s="1"/>
  <c r="H38" i="1"/>
  <c r="I38" i="1" s="1"/>
  <c r="H39" i="1"/>
  <c r="I39" i="1" s="1"/>
  <c r="H40" i="1"/>
  <c r="I40" i="1" s="1"/>
  <c r="H41" i="1"/>
  <c r="I41" i="1" s="1"/>
  <c r="H42" i="1"/>
  <c r="I42" i="1" s="1"/>
  <c r="H43" i="1"/>
  <c r="I43" i="1" s="1"/>
  <c r="H44" i="1"/>
  <c r="I44" i="1" s="1"/>
  <c r="H45" i="1"/>
  <c r="I45" i="1" s="1"/>
  <c r="H46" i="1"/>
  <c r="I46" i="1" s="1"/>
  <c r="H47" i="1"/>
  <c r="I47" i="1" s="1"/>
  <c r="H48" i="1"/>
  <c r="I48" i="1" s="1"/>
  <c r="H49" i="1"/>
  <c r="I49" i="1" s="1"/>
  <c r="H50" i="1"/>
  <c r="I50" i="1" s="1"/>
  <c r="H51" i="1"/>
  <c r="I51" i="1" s="1"/>
  <c r="H52" i="1"/>
  <c r="I52" i="1" s="1"/>
  <c r="H53" i="1"/>
  <c r="I53" i="1" s="1"/>
  <c r="H54" i="1"/>
  <c r="I54" i="1" s="1"/>
  <c r="H55" i="1"/>
  <c r="I55" i="1" s="1"/>
  <c r="H56" i="1"/>
  <c r="I56" i="1" s="1"/>
  <c r="H58" i="1"/>
  <c r="I58" i="1" s="1"/>
  <c r="H59" i="1"/>
  <c r="I59" i="1" s="1"/>
  <c r="H60" i="1"/>
  <c r="I60" i="1" s="1"/>
  <c r="H61" i="1"/>
  <c r="I61" i="1" s="1"/>
  <c r="H62" i="1"/>
  <c r="I62" i="1" s="1"/>
  <c r="H63" i="1"/>
  <c r="I63" i="1" s="1"/>
  <c r="J23" i="9" l="1"/>
  <c r="N30" i="9"/>
  <c r="J6" i="9"/>
  <c r="J7" i="9"/>
  <c r="L7" i="9"/>
  <c r="J24" i="9"/>
  <c r="M24" i="9"/>
  <c r="N25" i="9"/>
  <c r="M26" i="9"/>
  <c r="N4" i="9"/>
  <c r="J5" i="9"/>
  <c r="M5" i="9"/>
  <c r="L5" i="9"/>
  <c r="L6" i="9"/>
  <c r="M23" i="9"/>
  <c r="J29" i="9"/>
  <c r="M29" i="9"/>
  <c r="N36" i="9"/>
  <c r="J9" i="9"/>
  <c r="L9" i="9"/>
  <c r="M40" i="9"/>
  <c r="N9" i="9"/>
  <c r="N42" i="9"/>
  <c r="M15" i="9"/>
  <c r="E46" i="13"/>
  <c r="N46" i="13" s="1"/>
  <c r="J86" i="13"/>
  <c r="J10" i="9"/>
  <c r="L31" i="9"/>
  <c r="M10" i="9"/>
  <c r="M31" i="9"/>
  <c r="L15" i="9"/>
  <c r="N15" i="9"/>
  <c r="M33" i="9"/>
  <c r="N33" i="9"/>
  <c r="M7" i="9"/>
  <c r="J41" i="9"/>
  <c r="N41" i="9"/>
  <c r="J42" i="9"/>
  <c r="N84" i="13"/>
  <c r="J2" i="9"/>
  <c r="M27" i="9"/>
  <c r="N27" i="9"/>
  <c r="N106" i="13"/>
  <c r="J28" i="9"/>
  <c r="M28" i="9"/>
  <c r="N8" i="9"/>
  <c r="J8" i="9"/>
  <c r="M8" i="9"/>
  <c r="M32" i="9"/>
  <c r="N32" i="9"/>
  <c r="N35" i="9"/>
  <c r="M37" i="9"/>
  <c r="M16" i="9"/>
  <c r="M14" i="9"/>
  <c r="J19" i="9"/>
  <c r="N14" i="9"/>
  <c r="M19" i="9"/>
  <c r="N31" i="9"/>
  <c r="J36" i="9"/>
  <c r="N16" i="9"/>
  <c r="J17" i="9"/>
  <c r="J34" i="9"/>
  <c r="L38" i="9"/>
  <c r="J43" i="9"/>
  <c r="L2" i="9"/>
  <c r="M17" i="9"/>
  <c r="L34" i="9"/>
  <c r="M38" i="9"/>
  <c r="M43" i="9"/>
  <c r="M2" i="9"/>
  <c r="M6" i="9"/>
  <c r="M34" i="9"/>
  <c r="N38" i="9"/>
  <c r="J25" i="9"/>
  <c r="J30" i="9"/>
  <c r="J18" i="9"/>
  <c r="J39" i="9"/>
  <c r="L37" i="9"/>
  <c r="M18" i="9"/>
  <c r="J35" i="9"/>
  <c r="L39" i="9"/>
  <c r="J37" i="9"/>
  <c r="L3" i="9"/>
  <c r="J3" i="9"/>
  <c r="L35" i="9"/>
  <c r="M39" i="9"/>
  <c r="S3" i="9"/>
  <c r="J62" i="13"/>
  <c r="E70" i="13"/>
  <c r="N70" i="13" s="1"/>
  <c r="J61" i="13"/>
  <c r="E90" i="13"/>
  <c r="N90" i="13" s="1"/>
  <c r="E89" i="13"/>
  <c r="N89" i="13" s="1"/>
  <c r="J77" i="13"/>
  <c r="E65" i="13"/>
  <c r="N65" i="13" s="1"/>
  <c r="E48" i="13"/>
  <c r="N48" i="13" s="1"/>
  <c r="N36" i="13"/>
  <c r="N108" i="13"/>
  <c r="E9" i="13"/>
  <c r="N3" i="13"/>
  <c r="E85" i="13"/>
  <c r="N85" i="13" s="1"/>
  <c r="N100" i="13"/>
  <c r="E68" i="13"/>
  <c r="N68" i="13" s="1"/>
  <c r="E24" i="13"/>
  <c r="N24" i="13" s="1"/>
  <c r="N35" i="13"/>
  <c r="E93" i="13"/>
  <c r="N93" i="13" s="1"/>
  <c r="E72" i="13"/>
  <c r="E66" i="13"/>
  <c r="N66" i="13" s="1"/>
  <c r="N34" i="13"/>
  <c r="N5" i="13"/>
  <c r="E91" i="13"/>
  <c r="E43" i="13"/>
  <c r="N43" i="13" s="1"/>
  <c r="J25" i="13"/>
  <c r="N41" i="13"/>
  <c r="N32" i="13"/>
  <c r="N103" i="13"/>
  <c r="N74" i="13"/>
  <c r="N50" i="13"/>
  <c r="N2" i="13"/>
  <c r="N73" i="13"/>
  <c r="E63" i="13"/>
  <c r="N63" i="13" s="1"/>
  <c r="J49" i="13"/>
  <c r="N40" i="13"/>
  <c r="N45" i="13"/>
  <c r="J15" i="13"/>
  <c r="N58" i="13"/>
  <c r="N72" i="13"/>
  <c r="N67" i="13"/>
  <c r="N39" i="13"/>
  <c r="N96" i="13"/>
  <c r="N86" i="13"/>
  <c r="N62" i="13"/>
  <c r="N57" i="13"/>
  <c r="J51" i="13"/>
  <c r="N38" i="13"/>
  <c r="N95" i="13"/>
  <c r="E42" i="13"/>
  <c r="N42" i="13" s="1"/>
  <c r="N4" i="13"/>
  <c r="N104" i="13"/>
  <c r="N99" i="13"/>
  <c r="N56" i="13"/>
  <c r="J17" i="13"/>
  <c r="E94" i="13"/>
  <c r="N94" i="13" s="1"/>
  <c r="N80" i="13"/>
  <c r="E27" i="13"/>
  <c r="N27" i="13" s="1"/>
  <c r="E22" i="13"/>
  <c r="N22" i="13" s="1"/>
  <c r="I84" i="13"/>
  <c r="N37" i="13"/>
  <c r="N6" i="13"/>
  <c r="N101" i="13"/>
  <c r="N76" i="13"/>
  <c r="J94" i="13"/>
  <c r="J71" i="13"/>
  <c r="N9" i="13"/>
  <c r="N54" i="13"/>
  <c r="N13" i="13"/>
  <c r="N26" i="13"/>
  <c r="N91" i="13"/>
  <c r="E97" i="13"/>
  <c r="N97" i="13" s="1"/>
  <c r="E79" i="13"/>
  <c r="N79" i="13" s="1"/>
  <c r="N61" i="13"/>
  <c r="E53" i="13"/>
  <c r="N53" i="13" s="1"/>
  <c r="N21" i="13"/>
  <c r="J12" i="13"/>
  <c r="N49" i="13"/>
  <c r="E29" i="13"/>
  <c r="N29" i="13" s="1"/>
  <c r="N17" i="13"/>
  <c r="J67" i="13"/>
  <c r="N75" i="13"/>
  <c r="N71" i="13"/>
  <c r="J20" i="13"/>
  <c r="J7" i="13"/>
  <c r="J96" i="13"/>
  <c r="I93" i="13"/>
  <c r="E60" i="13"/>
  <c r="N60" i="13" s="1"/>
  <c r="N16" i="13"/>
  <c r="N12" i="13"/>
  <c r="N55" i="13"/>
  <c r="N82" i="13"/>
  <c r="J81" i="13"/>
  <c r="N44" i="13"/>
  <c r="N11" i="13"/>
  <c r="E19" i="13"/>
  <c r="N19" i="13" s="1"/>
  <c r="J10" i="13"/>
  <c r="J6" i="13"/>
  <c r="N102" i="13"/>
  <c r="N81" i="13"/>
  <c r="J95" i="13"/>
  <c r="N59" i="13"/>
  <c r="N107" i="13"/>
  <c r="J80" i="13"/>
  <c r="N77" i="13"/>
  <c r="N69" i="13"/>
  <c r="J54" i="13"/>
  <c r="N51" i="13"/>
  <c r="N31" i="13"/>
  <c r="E14" i="13"/>
  <c r="N14" i="13" s="1"/>
  <c r="N105" i="13"/>
  <c r="J76" i="13"/>
  <c r="E98" i="13"/>
  <c r="N98" i="13" s="1"/>
  <c r="E88" i="13"/>
  <c r="N88" i="13" s="1"/>
  <c r="J30" i="13"/>
  <c r="N28" i="13"/>
  <c r="N7" i="13"/>
  <c r="N47" i="13"/>
  <c r="N78" i="13"/>
  <c r="N23" i="13"/>
  <c r="N52" i="13"/>
  <c r="N8" i="13"/>
  <c r="N64" i="13"/>
  <c r="N18" i="13"/>
  <c r="E92" i="13"/>
  <c r="N92" i="13" s="1"/>
  <c r="E87" i="13"/>
  <c r="N87" i="13" s="1"/>
  <c r="J50" i="13"/>
  <c r="J31" i="13"/>
  <c r="J26" i="13"/>
  <c r="J21" i="13"/>
  <c r="J16" i="13"/>
  <c r="J11" i="13"/>
  <c r="J78" i="13"/>
  <c r="J52" i="13"/>
  <c r="J47" i="13"/>
  <c r="J18" i="13"/>
  <c r="J13" i="13"/>
  <c r="N33" i="13"/>
  <c r="J8" i="13"/>
  <c r="J28" i="13"/>
  <c r="J23" i="13"/>
  <c r="N83" i="13"/>
  <c r="N30" i="13"/>
  <c r="N25" i="13"/>
  <c r="N20" i="13"/>
  <c r="N15" i="13"/>
  <c r="N10" i="13"/>
  <c r="J69" i="13"/>
  <c r="J64" i="13"/>
  <c r="S2" i="9"/>
  <c r="S4" i="9" s="1"/>
  <c r="T2" i="1"/>
  <c r="T4" i="1" s="1"/>
  <c r="I2" i="1"/>
  <c r="T3" i="1" l="1"/>
</calcChain>
</file>

<file path=xl/sharedStrings.xml><?xml version="1.0" encoding="utf-8"?>
<sst xmlns="http://schemas.openxmlformats.org/spreadsheetml/2006/main" count="2663" uniqueCount="884">
  <si>
    <t>No.</t>
  </si>
  <si>
    <t>DigiKey Part Number</t>
  </si>
  <si>
    <t>Manufacturer Product Number</t>
  </si>
  <si>
    <t>Description</t>
  </si>
  <si>
    <t>Link DigiKey</t>
  </si>
  <si>
    <t>Qty</t>
  </si>
  <si>
    <t>Price per Unit ($)</t>
  </si>
  <si>
    <t>Total Price ($)</t>
  </si>
  <si>
    <t>Total Price (VND)</t>
  </si>
  <si>
    <t>Value</t>
  </si>
  <si>
    <t>Unit</t>
  </si>
  <si>
    <t>Tolerance (%)</t>
  </si>
  <si>
    <t>Package</t>
  </si>
  <si>
    <t>Category</t>
  </si>
  <si>
    <t>status</t>
  </si>
  <si>
    <t>System</t>
  </si>
  <si>
    <t>Note</t>
  </si>
  <si>
    <t>AD9834BRUZ-REEL7TR-ND</t>
  </si>
  <si>
    <t>AD9834BRUZ-REEL7</t>
  </si>
  <si>
    <t>IC DDS 50MHZ 10BIT 20TSSOP</t>
  </si>
  <si>
    <t>https://www.digikey.com/en/products/detail/analog-devices-inc/AD9834BRUZ-REEL7/994992</t>
  </si>
  <si>
    <t>NaN</t>
  </si>
  <si>
    <t>N/A</t>
  </si>
  <si>
    <t>20-TSSOP</t>
  </si>
  <si>
    <t>IC</t>
  </si>
  <si>
    <t>Done</t>
  </si>
  <si>
    <t>EIM</t>
  </si>
  <si>
    <t>Total cost USDT</t>
  </si>
  <si>
    <t>505-AD8302ARUZ-ND</t>
  </si>
  <si>
    <t>AD8302ARUZ</t>
  </si>
  <si>
    <t>IC RF DETECT 2.7GHZ 14TSSOP</t>
  </si>
  <si>
    <t>https://www.mouser.vn/ProductDetail/Analog-Devices/AD8302ARUZ-RL7?qs=%2FtpEQrCGXCxf7u2FSUHSPQ%3D%3D</t>
  </si>
  <si>
    <t>14-TSSOP</t>
  </si>
  <si>
    <t>Tocal Cost VND</t>
  </si>
  <si>
    <t>497-14909-ND</t>
  </si>
  <si>
    <t>STM32F411RET6</t>
  </si>
  <si>
    <t>IC MCU 32BIT 512KB FLASH 64LQFP</t>
  </si>
  <si>
    <t>https://www.digikey.com/en/products/detail/stmicroelectronics/STM32F411RET6/4935722</t>
  </si>
  <si>
    <t>64-LQFP</t>
  </si>
  <si>
    <t>uC</t>
  </si>
  <si>
    <t>Total Cost Taiwan</t>
  </si>
  <si>
    <t>505-AD8130ARMZ-REELTR-ND</t>
  </si>
  <si>
    <t>AD8130ARMZ-REEL</t>
  </si>
  <si>
    <t>IC OPAMP DIFF 1 CIRCUIT 8MSOP</t>
  </si>
  <si>
    <t>https://www.digikey.com/en/products/detail/analog-devices-inc/AD8130ARMZ-REEL/994072</t>
  </si>
  <si>
    <t>8-TSSOP</t>
  </si>
  <si>
    <t>541-3194-2-ND</t>
  </si>
  <si>
    <t>TNPW06036K80BEEA</t>
  </si>
  <si>
    <t>RES 6.8K OHM 0.1% 0.21W 0603</t>
  </si>
  <si>
    <t>https://www.digikey.com/en/products/detail/vishay-dale/TNPW06036K80BEEA/1606862?s=N4IgTCBcDaICoDkAKB1ADANjQZgwaQA40AhAUVIEEQBdAXyA</t>
  </si>
  <si>
    <r>
      <t>Ohm (</t>
    </r>
    <r>
      <rPr>
        <b/>
        <sz val="11"/>
        <color theme="1"/>
        <rFont val="Aptos Narrow"/>
        <family val="2"/>
        <scheme val="minor"/>
      </rPr>
      <t>Ω</t>
    </r>
    <r>
      <rPr>
        <sz val="11"/>
        <color theme="1"/>
        <rFont val="Aptos Narrow"/>
        <family val="2"/>
        <scheme val="minor"/>
      </rPr>
      <t>)</t>
    </r>
  </si>
  <si>
    <t>Resistor</t>
  </si>
  <si>
    <t>541-3049-2-ND</t>
  </si>
  <si>
    <t>TNPW0603200RBEEA</t>
  </si>
  <si>
    <t>RES 200 OHM 0.1% 0.21W 0603</t>
  </si>
  <si>
    <t>https://www.digikey.com/en/products/detail/vishay-dale/TNPW0603200RBEEA/1606685?s=N4IgTCBcDaICoDkAKB1ADANjQZjGtASgEICiJAgiALoC%2BQA</t>
  </si>
  <si>
    <t>541-3634-2-ND</t>
  </si>
  <si>
    <t>TNPW0603280RBEEA</t>
  </si>
  <si>
    <t>RES 280 OHM 0.1% 0.21W 0603</t>
  </si>
  <si>
    <t>https://www.digikey.com/en/products/detail/vishay-dale/tnpw0603280rbeea/1606702</t>
  </si>
  <si>
    <t>TNPW06031K00BEEA</t>
  </si>
  <si>
    <t>TNP1.00KAATR-ND</t>
  </si>
  <si>
    <t>RES 1K OHM 0.1% 0.21W 0603</t>
  </si>
  <si>
    <t>https://www.digikey.com/en/products/detail/vishay-dale/TNPW06031K00BEEA/1606767?s=N4IgTCBcDaICoDkAKBGAdABgwaQIK7gCUBaBAERAF0BfIA</t>
  </si>
  <si>
    <t>311-22.0HRTR-ND</t>
  </si>
  <si>
    <t>RC0603FR-0722RL</t>
  </si>
  <si>
    <t>RES 22 OHM 1% 1/10W 0603</t>
  </si>
  <si>
    <t>https://www.digikey.com/en/products/detail/yageo/RC0603FR-0722RL/727055?s=N4IgTCBcDaIEoGEAMA2JBmAYnAtEg7GGHADIgC6AvkA</t>
  </si>
  <si>
    <t>RC0603JR-070RL</t>
  </si>
  <si>
    <t>RES 0 OHM JUMPER 1/10W 0603</t>
  </si>
  <si>
    <t>https://www.digikey.com/en/products/detail/yageo/RC0603JR-070RL/726675?s=N4IgTCBcDaIEoGEAMA2JBmAUnAtEg7EnADIgC6AvkA</t>
  </si>
  <si>
    <t>541-2030-2-ND</t>
  </si>
  <si>
    <t>TNPW0603499RBEEA</t>
  </si>
  <si>
    <t>RES 499 OHM 0.1% 0.21W 0603</t>
  </si>
  <si>
    <t>https://www.digikey.com/en/products/detail/vishay-dale/tnpw0603499rbeea/1606732</t>
  </si>
  <si>
    <t>TNPW06031K78BEEA</t>
  </si>
  <si>
    <t>541-TNPW06031K78BEEATR-ND</t>
  </si>
  <si>
    <t>RES 1.78K OHM 0.1% 0.21W 0603</t>
  </si>
  <si>
    <t>https://www.digikey.cn/en/products/detail/vishay-dale/tnpw06031k78beea/1606793</t>
  </si>
  <si>
    <t>311-510HRTR-ND</t>
  </si>
  <si>
    <t>RC0603FR-07510RL</t>
  </si>
  <si>
    <t>RES 510 OHM 1% 1/10W 0603</t>
  </si>
  <si>
    <t>https://www.digikey.com/en/products/detail/yageo/rc0603fr-07510rl/727285</t>
  </si>
  <si>
    <t>2266-RC0603FR-072K67LTR-ND</t>
  </si>
  <si>
    <t>RC0603FR-072K67L</t>
  </si>
  <si>
    <t>RES 2.67K OHM 1% 0.1W, 1/10W 0603</t>
  </si>
  <si>
    <t>https://www.digikey.com/en/products/detail/yageo-america/rc0603fr-072k67l/22283163</t>
  </si>
  <si>
    <t>311-51.0HRTR-ND</t>
  </si>
  <si>
    <t>RC0603FR-0751RL</t>
  </si>
  <si>
    <t>RES 51 OHM 1% 1/10W 0603</t>
  </si>
  <si>
    <t>https://www.digikey.com/en/products/detail/yageo/rc0603fr-0751rl/727281</t>
  </si>
  <si>
    <t>311-10.0KHRTR-ND</t>
  </si>
  <si>
    <t>RC0603FR-0710KL</t>
  </si>
  <si>
    <t>RES 10K OHM 1% 1/10W 0603</t>
  </si>
  <si>
    <t>https://www.digikey.com/en/products/detail/yageo/rc0603fr-0710kl/726880</t>
  </si>
  <si>
    <t>TNP10.0AATR-ND</t>
  </si>
  <si>
    <t>TNPW060310R0BEEA</t>
  </si>
  <si>
    <t>RES 10 OHM 0.1% 0.21W 0603</t>
  </si>
  <si>
    <t>https://www.digikey.com/en/products/detail/vishay-dale/tnpw060310r0beea/1606539</t>
  </si>
  <si>
    <t>490-1410-2-ND</t>
  </si>
  <si>
    <t>GRM1885C1H200JA01D</t>
  </si>
  <si>
    <t>CAP CER 20PF 50V C0G/NP0 0603</t>
  </si>
  <si>
    <t>https://www.digikey.com/en/products/detail/murata-electronics/GRM1885C1H200JA01D/586920</t>
  </si>
  <si>
    <t>Farad (F)</t>
  </si>
  <si>
    <t>490-10700-2-ND</t>
  </si>
  <si>
    <t>GRM155R71H104KE14D</t>
  </si>
  <si>
    <t>CAP CER 0.1UF 50V X7R 0603</t>
  </si>
  <si>
    <t>https://www.digikey.com/en/products/detail/kemet/C0603C104K5RACTU/1465594</t>
  </si>
  <si>
    <t>399-C0603C105K3RACTUTR-ND</t>
  </si>
  <si>
    <t>C0603C105K3RACTU</t>
  </si>
  <si>
    <t>CAP CER 1UF 25V X7R 0603</t>
  </si>
  <si>
    <t>https://www.digikey.com/en/products/detail/kemet/C0603C105K3RACTU/3317410</t>
  </si>
  <si>
    <t>GRM1555C1H1R0WA01J-ND</t>
  </si>
  <si>
    <t>GRM1555C1H1R0WA01J</t>
  </si>
  <si>
    <t>CAP CER 1PF 50V C0G/NP0 0402</t>
  </si>
  <si>
    <t>https://www.digikey.com/en/products/detail/murata-electronics/grm1555c1h1r0wa01j/4904825</t>
  </si>
  <si>
    <t>311-1873-2-ND</t>
  </si>
  <si>
    <t>CC0805KKX5R9BB225</t>
  </si>
  <si>
    <t>CAP CER 2.2UF 50V X5R 0805</t>
  </si>
  <si>
    <t>https://www.digikey.com/en/products/detail/yageo/CC0805KKX5R9BB225/5195775</t>
  </si>
  <si>
    <t>490-16772-2-ND</t>
  </si>
  <si>
    <t>GRM1885C1H181JA01J</t>
  </si>
  <si>
    <t>CAP CER 180PF 50V C0G/NP0 0603</t>
  </si>
  <si>
    <t>https://www.digikey.com/en/products/detail/murata-electronics/grm1885c1h181ja01j/2611094</t>
  </si>
  <si>
    <t>490-1438-2-ND</t>
  </si>
  <si>
    <t>GRM1885C1H301JA01D</t>
  </si>
  <si>
    <t>CAP CER 300PF 50V C0G/NP0 0603</t>
  </si>
  <si>
    <t>https://www.digikey.com/en/products/detail/murata-electronics/grm1885c1h301ja01d/586964</t>
  </si>
  <si>
    <t>490-16776-2-ND</t>
  </si>
  <si>
    <t>GRM1885C1H331JA01J</t>
  </si>
  <si>
    <t>CAP CER 330PF 50V C0G/NP0 0603</t>
  </si>
  <si>
    <t>https://www.digikey.com/en/products/detail/murata-electronics/grm1885c1h331ja01j/2611160</t>
  </si>
  <si>
    <t>490-11457-2-ND</t>
  </si>
  <si>
    <t>GRM1885C1H271JA01J</t>
  </si>
  <si>
    <t>CAP CER 270PF 50V C0G/NP0 0603</t>
  </si>
  <si>
    <t>https://www.digikey.com/en/products/detail/murata-electronics/grm1885c1h271ja01j/2611130</t>
  </si>
  <si>
    <t>490-1419-2-ND</t>
  </si>
  <si>
    <t>GRM1885C1H470JA01D</t>
  </si>
  <si>
    <t>CAP CER 47PF 50V C0G/NP0 0603</t>
  </si>
  <si>
    <t>https://www.digikey.com/en/products/detail/murata-electronics/GRM1885C1H470JA01D/586904</t>
  </si>
  <si>
    <t>490-3285-2-ND</t>
  </si>
  <si>
    <t>GRM188R72A104KA35D</t>
  </si>
  <si>
    <t>CAP CER 0.1UF 100V X7R 0603</t>
  </si>
  <si>
    <t>https://www.digikey.com/en/products/detail/murata-electronics/GRM188R72A104KA35D/702826</t>
  </si>
  <si>
    <t>490-GRM188R72A103KA01DTR-ND</t>
  </si>
  <si>
    <t>GRM188R72A103KA01D</t>
  </si>
  <si>
    <t>CAP CER 10000PF 100V X7R 0603</t>
  </si>
  <si>
    <t>https://www.digikey.com/en/products/detail/murata-electronics/GRM188R72A103KA01D/3845635</t>
  </si>
  <si>
    <t>P49.9HTR-ND</t>
  </si>
  <si>
    <t>ERJ-3EKF49R9V</t>
  </si>
  <si>
    <t>RES SMD 49.9 OHM 1% 1/10W 0603</t>
  </si>
  <si>
    <t>ERJ-3EKF49R9V Panasonic Electronic Components | Resistors | DigiKey</t>
  </si>
  <si>
    <t>505-AD8014ARZ-ND</t>
  </si>
  <si>
    <t>AD8014ARZ</t>
  </si>
  <si>
    <t>IC OPAMP CFA 1 CIRCUIT 8SOIC</t>
  </si>
  <si>
    <t>https://www.digikey.com/en/products/detail/analog-devices-inc/ad8014arz/620459</t>
  </si>
  <si>
    <t>490-1181-1-ND</t>
  </si>
  <si>
    <t>LQW18ANR27J00D</t>
  </si>
  <si>
    <t>FIXED IND 270NH 0603 (Murata LQW18, high-Q)</t>
  </si>
  <si>
    <t>https://www.digikey.com/en/products/detail/murata-electronics/LQW18ANR27J00D/584389</t>
  </si>
  <si>
    <t>270n</t>
  </si>
  <si>
    <t>Henry (H)</t>
  </si>
  <si>
    <t>0603</t>
  </si>
  <si>
    <t>Inductor</t>
  </si>
  <si>
    <t>490-1183-1-ND</t>
  </si>
  <si>
    <t>LQW18ANR39J00D</t>
  </si>
  <si>
    <t>FIXED IND 390NH 0603 (Murata LQW18, high-Q)</t>
  </si>
  <si>
    <t>https://www.digikey.com/en/products/detail/murata-electronics/LQW18ANR39J00D/584391</t>
  </si>
  <si>
    <t>390n</t>
  </si>
  <si>
    <t>490-1184-1-ND</t>
  </si>
  <si>
    <t>LQW18ANR47J00D</t>
  </si>
  <si>
    <t>FIXED IND 470NH 0603 (Murata LQW18, high-Q)</t>
  </si>
  <si>
    <t>https://www.digikey.com/en/products/detail/murata-electronics/LQW18ANR47J00D/584392</t>
  </si>
  <si>
    <t>470n</t>
  </si>
  <si>
    <t>535-11201-1-ND</t>
  </si>
  <si>
    <t>ASDMB-75.000MHZ-LY-T</t>
  </si>
  <si>
    <t>MEMS OSC XO 75.0000MHZ LVCMOS (AD9834 MCLK)</t>
  </si>
  <si>
    <t>https://www.digikey.com/en/products/detail/abracon-llc/ASDMB-75-000MHZ-LY-T/2624314</t>
  </si>
  <si>
    <t>75M</t>
  </si>
  <si>
    <t>Hertz (Hz)</t>
  </si>
  <si>
    <t>4-SMD</t>
  </si>
  <si>
    <t>Ocsillator</t>
  </si>
  <si>
    <t>296-50411-1-ND</t>
  </si>
  <si>
    <t>TLV75533PDBVR</t>
  </si>
  <si>
    <t>IC REG LINEAR 3.3V 500MA</t>
  </si>
  <si>
    <t>https://www.digikey.com/en/products/detail/texas-instruments/TLV75533PDBVR/9356541</t>
  </si>
  <si>
    <t>SOT-23-5</t>
  </si>
  <si>
    <t>IC-Power</t>
  </si>
  <si>
    <t>F3733CT-ND</t>
  </si>
  <si>
    <t>1206L050/15YR</t>
  </si>
  <si>
    <t>PTC RESET FUSE 15V 500MA 1206 (input protection)</t>
  </si>
  <si>
    <t>https://www.digikey.com/en/products/detail/littelfuse-inc/1206L050-15YR/1211396</t>
  </si>
  <si>
    <t>1206</t>
  </si>
  <si>
    <t>FUSE</t>
  </si>
  <si>
    <t>4878-SMF5.0ACT-ND</t>
  </si>
  <si>
    <t>SMF5.0A</t>
  </si>
  <si>
    <t>TVS DIODE 5VWM 9.2VC SOD-123F (5V rail surge/ESD)</t>
  </si>
  <si>
    <t>https://www.digikey.com/en/products/detail/diotec-semiconductor/SMF5-0A/13163545</t>
  </si>
  <si>
    <t>SOD-123F</t>
  </si>
  <si>
    <t>Diode</t>
  </si>
  <si>
    <t>296-40695-1-ND</t>
  </si>
  <si>
    <t>TPD2E2U06QDBZRQ1</t>
  </si>
  <si>
    <t>TVS DIODE 5.5VWM 12.4VC SOT23-3</t>
  </si>
  <si>
    <t>https://www.digikey.com/en/products/detail/texas-instruments/TPD2E2U06QDBZRQ1/5056067</t>
  </si>
  <si>
    <t>Remove</t>
  </si>
  <si>
    <t>1801-SS24CT-ND</t>
  </si>
  <si>
    <t>SS24</t>
  </si>
  <si>
    <t>DIODE SCHOTTKY 40V 2A DO214AA</t>
  </si>
  <si>
    <t>https://www.digikey.sg/en/products/detail/taiwan-semiconductor-corporation/SS24/7369395?s=N4IgTCBcDaIIwA4AMcC0BldYAsAVASqgHIAiIAugL5A</t>
  </si>
  <si>
    <t>490-5313-1-ND</t>
  </si>
  <si>
    <t>GRM32ER71E226KE15L</t>
  </si>
  <si>
    <t>CAP CER 22UF 25V X7R 1210</t>
  </si>
  <si>
    <t>https://www.digikey.sg/en/products/detail/murata-electronics/grm32er71e226ke15l/2039040</t>
  </si>
  <si>
    <t>490-10700-1-ND</t>
  </si>
  <si>
    <t>CAP CER 0.1UF 50V X7R 0402</t>
  </si>
  <si>
    <t>https://www.digikey.sg/en/products/detail/murata-electronics/grm155r71h104ke14d/4906220</t>
  </si>
  <si>
    <t>505-ADP5070AREZ-ND</t>
  </si>
  <si>
    <t>ADP5070AREZ</t>
  </si>
  <si>
    <t>IC REG BST SEPIC ADJ DL 20TSSOP</t>
  </si>
  <si>
    <t>https://www.digikey.sg/en/products/detail/analog-devices-inc/ADP5070AREZ/5408965?s=N4IgTCBcDaIKwAY4FoCCARACog7A1ASgKIBayAcuiALoC%2BQA</t>
  </si>
  <si>
    <t>DFLS240-7DICT-ND</t>
  </si>
  <si>
    <t>DFLS240-7</t>
  </si>
  <si>
    <t>DIODE SCHOTTK 40V 2A POWERDI 123</t>
  </si>
  <si>
    <t>https://www.digikey.sg/en/products/detail/diodes-incorporated/DFLS240-7/1934953</t>
  </si>
  <si>
    <t>1712-CPF0603B604KE1CT-ND</t>
  </si>
  <si>
    <t>CPF0603B604KE1</t>
  </si>
  <si>
    <t>RES 604 KOHM 0.1% 1/16W 0603</t>
  </si>
  <si>
    <t>https://www.digikey.sg/en/products/detail/te-connectivity-passive-product/CPF0603B604KE1/7493601?s=N4IgTCBcDaIIwHY5gLQGEAKAxADANhwGYAhAgFgGkBROAFQCUUA5AERAF0BfIA</t>
  </si>
  <si>
    <t>311-100KHRCT-ND</t>
  </si>
  <si>
    <t>RC0603FR-07100KL</t>
  </si>
  <si>
    <t>RES 100K OHM 1% 1/10W 0603</t>
  </si>
  <si>
    <t>https://www.digikey.sg/en/products/detail/vishay-dale/TNPW0603100KBEEN/1610202?s=N4IgTCBcDaIKwBYCMBaAzHAbAThWFAcgCIgC6AvkA</t>
  </si>
  <si>
    <t>311-649KHRCT-ND</t>
  </si>
  <si>
    <t>RC0603FR-07649KL</t>
  </si>
  <si>
    <t>RES 649K OHM 1% 1/10W 0603</t>
  </si>
  <si>
    <t>https://www.digikey.sg/en/products/detail/yageo/rc0603fr-07649kl/727346</t>
  </si>
  <si>
    <t>490-3886-1-ND</t>
  </si>
  <si>
    <t>GRM21BR61C106KE15L</t>
  </si>
  <si>
    <t>CAP CER 10UF 16V X5R 0805</t>
  </si>
  <si>
    <t>https://www.digikey.sg/en/products/detail/murata-electronics/GRM21BR61C106KE15L/965900</t>
  </si>
  <si>
    <t>311-12.0KHRCT-ND</t>
  </si>
  <si>
    <t>RC0603FR-0712KL</t>
  </si>
  <si>
    <t>RES 12K OHM 1% 1/10W 0603</t>
  </si>
  <si>
    <t>https://www.digikey.sg/en/products/detail/yageo/rc0603fr-0712kl/726913</t>
  </si>
  <si>
    <t>490-5854-1-ND</t>
  </si>
  <si>
    <t>GCJ188R71H473KA12D</t>
  </si>
  <si>
    <t>CAP CER 0.047UF 50V X7R 0603</t>
  </si>
  <si>
    <t>https://www.digikey.sg/en/products/detail/murata-electronics/GCJ188R71H473KA12D/2785873?s=N4IgTCBcDaICwE4AMBaArADjXFYUDkAREAXQF8g</t>
  </si>
  <si>
    <t>311-15.0KHRCT-ND</t>
  </si>
  <si>
    <t>RC0603FR-0715KL</t>
  </si>
  <si>
    <t>RES 15K OHM 1% 1/10W 0603</t>
  </si>
  <si>
    <t>https://www.digikey.sg/en/products/detail/yageo/RC0603FR-0715KL/726953?s=N4IgTCBcDaIMwEYEFoEFYB0AGA0gCQCUAVA5AOQBEQBdAXyA</t>
  </si>
  <si>
    <t>490-5799-1-ND</t>
  </si>
  <si>
    <t>GCJ188R71H683KA12D</t>
  </si>
  <si>
    <t>CAP CER 0.068UF 50V X7R 0603</t>
  </si>
  <si>
    <t>https://www.digikey.sg/en/products/detail/murata-electronics/gcj188r71h683ka12d/2783812</t>
  </si>
  <si>
    <t>490-1427-1-ND</t>
  </si>
  <si>
    <t>GRM1885C1H101JA01D</t>
  </si>
  <si>
    <t>CAP CER 100PF 50V C0G/NP0 0603</t>
  </si>
  <si>
    <t>https://www.digikey.sg/en/products/detail/murata-electronics/grm1885c1h101ja01d/586921</t>
  </si>
  <si>
    <t>505-ADP7142AUJZ-5.0-R7CT-ND</t>
  </si>
  <si>
    <t>ADP7142AUJZ-5.0-R7</t>
  </si>
  <si>
    <t>IC REG LINEAR 5V 200MA TSOT-23-5</t>
  </si>
  <si>
    <t>https://www.digikey.sg/en/products/detail/analog-devices-inc/adp7142aujz-5-0-r7/5056896</t>
  </si>
  <si>
    <t>505-ADP7182AUJZ-5.0-R7CT-ND</t>
  </si>
  <si>
    <t>ADP7182AUJZ-5.0-R7</t>
  </si>
  <si>
    <t>IC REG LINEAR -5V 200MA TSOT-23-5</t>
  </si>
  <si>
    <t>https://www.digikey.sg/en/products/detail/analog-devices-inc/adp7182aujz-5-0-r7/4901224</t>
  </si>
  <si>
    <t>296-TPS7A2033PDBVRCT-ND</t>
  </si>
  <si>
    <t>TPS7A2033PDBVR</t>
  </si>
  <si>
    <t>IC REG LINEAR 3.3V 300MA SOT23-5</t>
  </si>
  <si>
    <t>https://www.digikey.sg/en/products/detail/texas-instruments/tps7a2033pdbvr/13566866</t>
  </si>
  <si>
    <t>IC REG LINEAR 3.3V 500MA SOT23-5</t>
  </si>
  <si>
    <t>https://www.digikey.sg/en/products/detail/texas-instruments/tlv75533pdbvr/9356541</t>
  </si>
  <si>
    <t>490-5258-1-ND</t>
  </si>
  <si>
    <t>BLM18KG601SN1D</t>
  </si>
  <si>
    <t>FERRITE BEAD 600 OHM 0603 1LN</t>
  </si>
  <si>
    <t>https://www.digikey.sg/en/products/detail/murata-electronics/blm18kg601sn1d/1982766</t>
  </si>
  <si>
    <t>Ferrite bead</t>
  </si>
  <si>
    <t>490-1543-1-ND</t>
  </si>
  <si>
    <t>GRM188R61A105KA61D</t>
  </si>
  <si>
    <t>CAP CER 1UF 10V X5R 0603</t>
  </si>
  <si>
    <t>https://www.digikey.sg/en/products/detail/murata-electronics/GRM188R61A105KA61D/587071?s=N4IgTCBcDaICwE4AMBaAjAVjgZhWFAcgCIgC6AvkA</t>
  </si>
  <si>
    <t>541-2.61KHCT-ND</t>
  </si>
  <si>
    <t>CRCW06032K61FKEA</t>
  </si>
  <si>
    <t>RES SMD 2.61K OHM 1% 1/8W 0603</t>
  </si>
  <si>
    <t>https://www.digikey.com/en/products/detail/vishay-dale/CRCW06032K61FKEA/1174713</t>
  </si>
  <si>
    <t>399-C0402C151K5RACTUCT-ND</t>
  </si>
  <si>
    <t>C0402C151K5RACTU</t>
  </si>
  <si>
    <t>CAP CER 150PF 50V X7R 0402</t>
  </si>
  <si>
    <t>https://www.digikey.com/en/products/detail/kemet/C0402C151K5RACTU/1933627</t>
  </si>
  <si>
    <t>1276-1070-1-ND</t>
  </si>
  <si>
    <t>CL10C330JB8NNNC</t>
  </si>
  <si>
    <t>CAP CER 33PF 50V C0G/NP0 0603</t>
  </si>
  <si>
    <t>https://www.digikey.com/en/products/detail/samsung-electro-mechanics/CL10C330JB8NNNC/3886728</t>
  </si>
  <si>
    <t>738-RNCF0603TKY49R9CT-ND</t>
  </si>
  <si>
    <t>RNCF0603TKY49R9</t>
  </si>
  <si>
    <t>RES 49.9 OHM 0.01% 1/10W 0603</t>
  </si>
  <si>
    <t>https://www.digikey.com/en/products/detail/stackpole-electronics-inc/RNCF0603TKY49R9/4072345</t>
  </si>
  <si>
    <t>Ordering</t>
  </si>
  <si>
    <t>RNCF0603TKY1K00CT-ND</t>
  </si>
  <si>
    <t>RNCF0603TKY1K00</t>
  </si>
  <si>
    <t>RES SMD 1K OHM 0.01% 1/10W 0603</t>
  </si>
  <si>
    <t>https://www.digikey.com/en/products/detail/stackpole-electronics-inc/RNCF0603TKY1K00/2269697</t>
  </si>
  <si>
    <t>738-RNCF0603TKY499RCT-ND</t>
  </si>
  <si>
    <t>RNCF0603TKY499R</t>
  </si>
  <si>
    <t>RES SMD 499 OHM 0.01% 1/10W 0603</t>
  </si>
  <si>
    <t>https://www.digikey.com/en/products/detail/stackpole-electronics-inc/RNCF0603TKY499R/4072346</t>
  </si>
  <si>
    <t>RG20N51WCT-ND</t>
  </si>
  <si>
    <t>RG2012N-510-W-T1</t>
  </si>
  <si>
    <t>RES SMD 51 OHM 0.05% 1/8W 0805</t>
  </si>
  <si>
    <t>https://www.digikey.com/en/products/detail/susumu/RG2012N-510-W-T1/600657</t>
  </si>
  <si>
    <t>P100KBECT-ND</t>
  </si>
  <si>
    <t>ERA-3ARW104V</t>
  </si>
  <si>
    <t>RES SMD 100K OHM 0.05% 1/10W 0603</t>
  </si>
  <si>
    <t>https://www.digikey.com/en/products/detail/panasonic-industry/ERA-3ARW104V/3073685</t>
  </si>
  <si>
    <t>408-RG1608N-103-W-T5CT-ND</t>
  </si>
  <si>
    <t>RG1608N-103-W-T5</t>
  </si>
  <si>
    <t>RES SMD 10K OHM 0.05% 1/10W 0603</t>
  </si>
  <si>
    <t>https://www.digikey.com/en/products/detail/susumu/RG1608N-103-W-T5/1257543</t>
  </si>
  <si>
    <t>RG16N47WCT-ND</t>
  </si>
  <si>
    <t>RG1608N-470-W-T1</t>
  </si>
  <si>
    <t>RES SMD 47 OHM 0.05% 1/10W 0603</t>
  </si>
  <si>
    <t>https://www.digikey.com/en/products/detail/susumu/RG1608N-470-W-T1/600565</t>
  </si>
  <si>
    <t>RNCF0603AKT10R0CT-ND</t>
  </si>
  <si>
    <t>RNCF0603AKT10R0</t>
  </si>
  <si>
    <t>RES SMD 10 OHM 0.05% 1/10W 0603</t>
  </si>
  <si>
    <t>https://www.digikey.com/en/products/detail/stackpole-electronics-inc/RNCF0603AKT10R0/4928378</t>
  </si>
  <si>
    <t>490-16342-1-ND</t>
  </si>
  <si>
    <t>GRM1885C1H1R0WA01D</t>
  </si>
  <si>
    <t>CAP CER 1PF 50V C0G/NP0 0603</t>
  </si>
  <si>
    <t>https://www.digikey.com/en/products/detail/murata-electronics/GRM1885C1H1R0WA01D/7363086</t>
  </si>
  <si>
    <t>505-AD8066ARZ-R7CT-ND</t>
  </si>
  <si>
    <t>AD8066ARZ-R7</t>
  </si>
  <si>
    <t>IC VOLTAGE FEEDBACK 2 CIRC 8SOIC</t>
  </si>
  <si>
    <t>https://www.digikey.com/en/products/detail/analog-devices-inc/AD8066ARZ-R7/654014</t>
  </si>
  <si>
    <t>505-ADP2303ARDZ-5.0-R7CT-ND</t>
  </si>
  <si>
    <t>ADP2303ARDZ-5.0-R7</t>
  </si>
  <si>
    <t>IC REG BUCK 5V 3A 8SOIC</t>
  </si>
  <si>
    <t>https://www.digikey.com/en/products/detail/analog-devices-inc/ADP2303ARDZ-5-0-R7/2606549</t>
  </si>
  <si>
    <t>505-ADP7118AUJZ-3.3-R7CT-ND</t>
  </si>
  <si>
    <t>ADP7118AUJZ-3.3-R7</t>
  </si>
  <si>
    <t>IC REG LIN 3.3V 200MA TSOT-23-5</t>
  </si>
  <si>
    <t>https://www.digikey.com/en/products/detail/analog-devices-inc/ADP7118AUJZ-3-3-R7/5056890</t>
  </si>
  <si>
    <t>478-KGM15ACG1H102FTCT-ND</t>
  </si>
  <si>
    <t>KGM15ACG1H102FT</t>
  </si>
  <si>
    <t>CAP CER 1000PF 50V C0G/NP0 0603</t>
  </si>
  <si>
    <t>https://www.digikey.com/en/products/detail/kemet/c0402c102k5ractu/411034</t>
  </si>
  <si>
    <t>2019-RN73R1JTTD22R0B25CT-ND</t>
  </si>
  <si>
    <t>RN73R1JTTD22R0B25</t>
  </si>
  <si>
    <t>RES 22 OHM 0.1% 1/10W 0603</t>
  </si>
  <si>
    <t>https://www.digikey.com/en/products/detail/koa-speer-electronics-inc/RN73R1JTTD22R0B25/10013029</t>
  </si>
  <si>
    <t>490-GCM1885C2A561FA16DCT-ND</t>
  </si>
  <si>
    <t>GCM1885C2A561FA16D</t>
  </si>
  <si>
    <t>CAP CER 560PF 100V C0G/NP0 0603</t>
  </si>
  <si>
    <t>https://www.digikey.com/en/products/detail/murata-electronics/GCM1885C2A561FA16D/11618566</t>
  </si>
  <si>
    <t>Replace 720p</t>
  </si>
  <si>
    <t>399-14491-1-ND</t>
  </si>
  <si>
    <t>C0603C161F5GACTU</t>
  </si>
  <si>
    <t>CAP CER 160PF 50V C0G/NP0 0603</t>
  </si>
  <si>
    <t>https://www.digikey.com/en/products/detail/kemet/C0603C161F5GACTU/2200035</t>
  </si>
  <si>
    <t>311-3897-1-ND</t>
  </si>
  <si>
    <t>CC0603FRNPO9BN390</t>
  </si>
  <si>
    <t>CAP CER 39PF 50V C0G/NPO 0603</t>
  </si>
  <si>
    <t>https://www.digikey.sg/en/products/detail/yageo/CC0603FRNPO9BN390/5883506</t>
  </si>
  <si>
    <t>399-C0603C681F5GACTUCT-ND</t>
  </si>
  <si>
    <t>C0603C681F5GACTU</t>
  </si>
  <si>
    <t>CAP CER 680PF 50V C0G/NP0 0603</t>
  </si>
  <si>
    <t>https://www.digikey.com/en/products/detail/kemet/C0603C681F5GACTU/2201080</t>
  </si>
  <si>
    <t>445-MLF1608A1R0JT000CT-ND</t>
  </si>
  <si>
    <t>MLF1608A1R0JT000</t>
  </si>
  <si>
    <t>FIXED IND 1UH 50MA 500 MOHM SMD</t>
  </si>
  <si>
    <t>https://www.digikey.com/en/products/detail/tdk/MLF1608A1R0JT000/612989</t>
  </si>
  <si>
    <t>1u</t>
  </si>
  <si>
    <t>445-175367-1-ND</t>
  </si>
  <si>
    <t>MLF1608A1R5JT000</t>
  </si>
  <si>
    <t>FIXED IND 1.5UH 50MA 700 MOHM</t>
  </si>
  <si>
    <t>https://www.digikey.com/en/products/detail/tdk/MLF1608A1R5JT000/612991</t>
  </si>
  <si>
    <t>1.5u</t>
  </si>
  <si>
    <t>445-MLF1608A1R8JT000CT-ND</t>
  </si>
  <si>
    <t>MLF1608A1R8JT000</t>
  </si>
  <si>
    <t>FIXED IND 1.8UH 50MA 850 MOHM</t>
  </si>
  <si>
    <t>https://www.digikey.com/en/products/detail/tdk/MLF1608A1R8JT000/612992</t>
  </si>
  <si>
    <t>1.8u</t>
  </si>
  <si>
    <t>13-CC0603FRNPO9BN201CT-ND</t>
  </si>
  <si>
    <t>CC0603FRNPO9BN201</t>
  </si>
  <si>
    <t>CAP CER 200PF 50V C0G/NPO 0603</t>
  </si>
  <si>
    <t>https://www.digikey.com/en/products/detail/yageo/CC0603FRNPO9BN201/11490449</t>
  </si>
  <si>
    <t>399-C0603C391F5GACTUCT-ND</t>
  </si>
  <si>
    <t>C0603C391F5GACTU</t>
  </si>
  <si>
    <t>CAP CER 390PF 50V C0G/NP0 0603</t>
  </si>
  <si>
    <t>https://www.digikey.com/en/products/detail/kemet/C0603C391F5GACTU/2200659</t>
  </si>
  <si>
    <t>Replace 400pF</t>
  </si>
  <si>
    <t>1276-1069-1-ND</t>
  </si>
  <si>
    <t>CL10C100CB8NNNC</t>
  </si>
  <si>
    <t>CAP CER 10PF 50V C0G/NP0 0603</t>
  </si>
  <si>
    <t>https://www.digikey.com/en/products/detail/samsung-electro-mechanics/CL10C100CB8NNNC/3886727</t>
  </si>
  <si>
    <t>490-8120-1-ND</t>
  </si>
  <si>
    <t>GQM1875C2E120GB12D</t>
  </si>
  <si>
    <t>CAP CER 12PF 250V C0G/NP0 0603</t>
  </si>
  <si>
    <t>https://www.digikey.com/en/products/detail/murata-electronics/GQM1875C2E120GB12D/2593381</t>
  </si>
  <si>
    <t>60,237 ₫</t>
  </si>
  <si>
    <t>12P</t>
  </si>
  <si>
    <t>Capacitor</t>
  </si>
  <si>
    <t>Replace 132pF</t>
  </si>
  <si>
    <t>399-C0603C121F5GACTUCT-ND</t>
  </si>
  <si>
    <t>C0603C121F5GACTU</t>
  </si>
  <si>
    <t>CAP CER 120PF 50V C0G/NP0 0603</t>
  </si>
  <si>
    <t>https://www.digikey.com/en/products/detail/kemet/c0603c121f5gactu/2199842</t>
  </si>
  <si>
    <t>311-3906-1-ND</t>
  </si>
  <si>
    <t>CC0603FRNPO9BN820</t>
  </si>
  <si>
    <t>CAP CER 82PF 50V C0G/NPO 0603</t>
  </si>
  <si>
    <t>https://www.digikey.com/en/products/detail/yageo/CC0603FRNPO9BN820/5883518</t>
  </si>
  <si>
    <t>478-KGM15ACG1H221FTCT-ND</t>
  </si>
  <si>
    <t>KGM15ACG1H221FT</t>
  </si>
  <si>
    <t>CAP CER 220PF 50V C0G/NP0 0603</t>
  </si>
  <si>
    <t>https://www.digikey.sg/en/products/detail/kyocera-avx/KGM15ACG1H221FT/1116245</t>
  </si>
  <si>
    <t>399-C0805C473J3GACTUCT-ND</t>
  </si>
  <si>
    <t>C0805C473J3GACTU</t>
  </si>
  <si>
    <t>CAP CER 0.047UF 25V C0G/NP0 0805</t>
  </si>
  <si>
    <t>https://www.digikey.com/en/products/detail/kemet/C0805C473J3GACTU/2212853</t>
  </si>
  <si>
    <t>RNCF0603TKY100RCT-ND</t>
  </si>
  <si>
    <t>RNCF0603TKY100R</t>
  </si>
  <si>
    <t>RES SMD 100 OHM 0.01% 1/10W 0603</t>
  </si>
  <si>
    <t>https://www.digikey.com/en/products/detail/stackpole-electronics-inc/RNCF0603TKY100R/2269696</t>
  </si>
  <si>
    <t>712-QSCP251Q1R0A1GV001TCT-ND</t>
  </si>
  <si>
    <t>QSCP251Q1R0A1GV001T</t>
  </si>
  <si>
    <t>CAP CER 1PF 250V NP0 0603</t>
  </si>
  <si>
    <t>https://www.digikey.com/en/products/detail/johanson-technology-inc/QSCP251Q1R0A1GV001T/1919340</t>
  </si>
  <si>
    <t>490-GRT1885C1E103FA02DCT-ND</t>
  </si>
  <si>
    <t>GRT1885C1E103FA02D</t>
  </si>
  <si>
    <t>CAP CER 10000PF 25V C0G/NP0 0603</t>
  </si>
  <si>
    <t>https://www.digikey.com/en/products/detail/murata-electronics/GRT1885C1E103FA02D/16033576</t>
  </si>
  <si>
    <t>0.01uF</t>
  </si>
  <si>
    <t>P2.0KBECT-ND</t>
  </si>
  <si>
    <t>ERA-3ARW202V</t>
  </si>
  <si>
    <t>RES SMD 2K OHM 0.05% 1/10W 0603</t>
  </si>
  <si>
    <t>https://www.digikey.com/en/products/detail/panasonic-industry/ERA-3ARW202V/3073698</t>
  </si>
  <si>
    <t>10-ERA-3AEB52R3VCT-ND</t>
  </si>
  <si>
    <t>ERA-3AEB52R3V</t>
  </si>
  <si>
    <t>RES SMD 52.3 OHM 0.1% 1/10W 0603</t>
  </si>
  <si>
    <t>https://www.digikey.sg/en/products/detail/panasonic-industry/ERA-3AEB52R3V/2026633</t>
  </si>
  <si>
    <t>490-GCM31C5C1H104FA16LCT-ND</t>
  </si>
  <si>
    <t>GCM31C5C1H104FA16L</t>
  </si>
  <si>
    <t>CAP CER 0.1UF 50V C0G/NP0 1206</t>
  </si>
  <si>
    <t>https://www.digikey.com/en/products/detail/murata-electronics/GCM31C5C1H104FA16L/11618865</t>
  </si>
  <si>
    <t>C44, C54, C4, C1, C9</t>
  </si>
  <si>
    <t>RMCF0805FT60K4CT-ND</t>
  </si>
  <si>
    <t>RMCF0805FT60K4</t>
  </si>
  <si>
    <t>RES 60.4K OHM 1% 1/8W 0805</t>
  </si>
  <si>
    <t>311-24.3KCRCT-ND</t>
  </si>
  <si>
    <t>RC0805FR-0724K3L</t>
  </si>
  <si>
    <t>RES 24.3K OHM 1% 1/8W 0805</t>
  </si>
  <si>
    <t>https://www.digikey.sg/en/products/detail/yageo/RC0805FR-0724K3L/727758</t>
  </si>
  <si>
    <t>RMCF0805FT150KCT-ND</t>
  </si>
  <si>
    <t>RMCF0805FT150K</t>
  </si>
  <si>
    <t>RES 150K OHM 1% 1/8W 0805</t>
  </si>
  <si>
    <t>https://www.digikey.sg/en/products/detail/stackpole-electronics-inc/RMCF0805FT150K/1760472</t>
  </si>
  <si>
    <t>1276-1040-1-ND</t>
  </si>
  <si>
    <t>CL10A225KO8NNNC</t>
  </si>
  <si>
    <t>CAP CER 2.2UF 16V X5R 0603</t>
  </si>
  <si>
    <t>https://www.digikey.sg/en/products/detail/samsung-electro-mechanics/CL10A225KO8NNNC/3886698</t>
  </si>
  <si>
    <t>2.2U</t>
  </si>
  <si>
    <t>399-C0603C223K5RACTUCT-ND</t>
  </si>
  <si>
    <t>CAP CER 0.022UF 50V X7R 0603</t>
  </si>
  <si>
    <t>https://www.digikey.com/en/products/detail/kemet/C0603C223K5RACTU/416043</t>
  </si>
  <si>
    <t>490-6508-1-ND</t>
  </si>
  <si>
    <t>GRM31CR60J476KE19L</t>
  </si>
  <si>
    <t>CAP CER 47UF 6.3V X5R 1206</t>
  </si>
  <si>
    <t>https://www.digikey.sg/en/products/detail/murata-electronics/GRM31CR60J476KE19L/2548176</t>
  </si>
  <si>
    <t>SMBJ12A-E3/52GICT-ND</t>
  </si>
  <si>
    <t>SMBJ12A-E3/52</t>
  </si>
  <si>
    <t>TVS DIODE 12VWM 19.9VC DO214AA</t>
  </si>
  <si>
    <t>https://www.digikey.com/en/products/detail/vishay-general-semiconductor-diodes-division/smbj12a-e3-52/1091513</t>
  </si>
  <si>
    <t>DO-214AA</t>
  </si>
  <si>
    <t>SMBJ8.5ALFCT-ND</t>
  </si>
  <si>
    <t>SMBJ8.5A</t>
  </si>
  <si>
    <t>TVS DIODE 8.5VWM 14.4V DO214AA</t>
  </si>
  <si>
    <t>https://www.digikey.com/en/products/detail/littelfuse-inc/smbj8-5a/688268</t>
  </si>
  <si>
    <t>SK54A-LTPMSCT-ND</t>
  </si>
  <si>
    <t>SK54A-LTP</t>
  </si>
  <si>
    <t>DIODE SCHOTTKY 40V 5A DO214AC</t>
  </si>
  <si>
    <t>https://www.digikey.com/en/products/detail/mcc-micro-commercial-components/SK54A-LTP/5114132</t>
  </si>
  <si>
    <t>DO-214AC</t>
  </si>
  <si>
    <t>SK34A-LTPMSCT-ND</t>
  </si>
  <si>
    <t>SK34A-LTP</t>
  </si>
  <si>
    <t>DIODE SCHOTTKY 40V 3A DO214AC</t>
  </si>
  <si>
    <t>https://www.digikey.com/en/products/detail/mcc-micro-commercial-components/SK34A-LTP/2642021</t>
  </si>
  <si>
    <t>SRR1260-4R7YCT-ND</t>
  </si>
  <si>
    <t>SRR1260-4R7Y</t>
  </si>
  <si>
    <t>FIXED IND 4.7UH 6.8A 15.5 MOHM</t>
  </si>
  <si>
    <t>https://www.digikey.com/en/products/detail/bourns-inc/SRR1260-4R7Y/2352901</t>
  </si>
  <si>
    <t>SMD</t>
  </si>
  <si>
    <t>490-18407-1-ND</t>
  </si>
  <si>
    <t>DFE322520FD-4R7M=P2</t>
  </si>
  <si>
    <t>FIXED IND 4.7UH 2A 98 MOHM SMD</t>
  </si>
  <si>
    <t>https://www.digikey.com/en/products/detail/murata-electronics/DFE322520FD-4R7M-P2/10135198</t>
  </si>
  <si>
    <t>587-3462-1-ND</t>
  </si>
  <si>
    <t>NRS5030T6R8MMGJ</t>
  </si>
  <si>
    <t>FIXED IND 6.8UH 2.3A 52 MOHM SMD</t>
  </si>
  <si>
    <t>https://www.digikey.com/en/products/detail/taiyo-yuden/NRS5030T6R8MMGJ/4157850</t>
  </si>
  <si>
    <t>AD8130ARMZ-REEL7CT-ND</t>
  </si>
  <si>
    <t>AD8130ARMZ-REEL7</t>
  </si>
  <si>
    <t>https://www.digikey.com/en/products/detail/analog-devices-inc/AD8130ARMZ-REEL7/996145</t>
  </si>
  <si>
    <t>No.
(1st sheet)</t>
  </si>
  <si>
    <t>MPN</t>
  </si>
  <si>
    <t>Qty
Ordered</t>
  </si>
  <si>
    <t>Qty Required</t>
  </si>
  <si>
    <t xml:space="preserve">Qty Used
</t>
  </si>
  <si>
    <t>Remaining
(= Ordered − Used)</t>
  </si>
  <si>
    <t>Status</t>
  </si>
  <si>
    <t>Remarks / Notes</t>
  </si>
  <si>
    <t>Validate with order</t>
  </si>
  <si>
    <t>Validate with schematic</t>
  </si>
  <si>
    <t>—</t>
  </si>
  <si>
    <t> </t>
  </si>
  <si>
    <t>6.8K</t>
  </si>
  <si>
    <t>1K</t>
  </si>
  <si>
    <t>1.78K</t>
  </si>
  <si>
    <t>2.67K</t>
  </si>
  <si>
    <t>10K</t>
  </si>
  <si>
    <t>20P</t>
  </si>
  <si>
    <t>0.1U</t>
  </si>
  <si>
    <t>1U</t>
  </si>
  <si>
    <t>1P</t>
  </si>
  <si>
    <t>180P</t>
  </si>
  <si>
    <t>300P</t>
  </si>
  <si>
    <t>330P</t>
  </si>
  <si>
    <t>270P</t>
  </si>
  <si>
    <t>47P</t>
  </si>
  <si>
    <t>10000P</t>
  </si>
  <si>
    <t>8SOIC</t>
  </si>
  <si>
    <t>Removed</t>
  </si>
  <si>
    <t>22U</t>
  </si>
  <si>
    <t>100K</t>
  </si>
  <si>
    <t>649K</t>
  </si>
  <si>
    <t>10U</t>
  </si>
  <si>
    <t>12K</t>
  </si>
  <si>
    <t>0.047U</t>
  </si>
  <si>
    <t>15K</t>
  </si>
  <si>
    <t>0.068U</t>
  </si>
  <si>
    <t>100P</t>
  </si>
  <si>
    <t>2.61K</t>
  </si>
  <si>
    <t>150P</t>
  </si>
  <si>
    <t>33P</t>
  </si>
  <si>
    <t>1000P</t>
  </si>
  <si>
    <t>560P</t>
  </si>
  <si>
    <t>160P</t>
  </si>
  <si>
    <t>39P</t>
  </si>
  <si>
    <t>680P</t>
  </si>
  <si>
    <t>200P</t>
  </si>
  <si>
    <t>390P</t>
  </si>
  <si>
    <t>10P</t>
  </si>
  <si>
    <t>120P</t>
  </si>
  <si>
    <t>82P</t>
  </si>
  <si>
    <t>220P</t>
  </si>
  <si>
    <t>2K</t>
  </si>
  <si>
    <t> 5</t>
  </si>
  <si>
    <t>Reference</t>
  </si>
  <si>
    <t>Size</t>
  </si>
  <si>
    <t>DNP</t>
  </si>
  <si>
    <t>C5,C8,C12,C13,C15,C17,C34,C36,C38,C39,C41,C43,C47,C48,C51,C52,C58,C59,C61,C68,C69,C70</t>
  </si>
  <si>
    <t>0.1u</t>
  </si>
  <si>
    <t>Unpolarized capacitor, small symbol</t>
  </si>
  <si>
    <t>C2,C33</t>
  </si>
  <si>
    <t>20p</t>
  </si>
  <si>
    <t>C3,C6,C7,C11,C14,C16,C18,C35,C37,C40,C42,C45,C46,C49,C50,C53,C55,C57,C62</t>
  </si>
  <si>
    <t>10u</t>
  </si>
  <si>
    <t>0805</t>
  </si>
  <si>
    <t>C10,C66,C67</t>
  </si>
  <si>
    <t>0.01u</t>
  </si>
  <si>
    <t>C19,C21</t>
  </si>
  <si>
    <t>680p</t>
  </si>
  <si>
    <t>Unpolarized capacitor</t>
  </si>
  <si>
    <t>C20</t>
  </si>
  <si>
    <t>39p</t>
  </si>
  <si>
    <t>C22,C26,C31</t>
  </si>
  <si>
    <t>1n</t>
  </si>
  <si>
    <t>C23</t>
  </si>
  <si>
    <t>200p</t>
  </si>
  <si>
    <t>C24</t>
  </si>
  <si>
    <t>390p</t>
  </si>
  <si>
    <t>C25</t>
  </si>
  <si>
    <t>10p</t>
  </si>
  <si>
    <t>C27</t>
  </si>
  <si>
    <t>220p</t>
  </si>
  <si>
    <t>C28</t>
  </si>
  <si>
    <t>100p</t>
  </si>
  <si>
    <t>C29</t>
  </si>
  <si>
    <t>12p</t>
  </si>
  <si>
    <t>C30</t>
  </si>
  <si>
    <t>120p</t>
  </si>
  <si>
    <t>C32</t>
  </si>
  <si>
    <t>82p</t>
  </si>
  <si>
    <t>C56</t>
  </si>
  <si>
    <t>0.047u</t>
  </si>
  <si>
    <t>H1,H2,H3,H4</t>
  </si>
  <si>
    <t>M3</t>
  </si>
  <si>
    <t>J1</t>
  </si>
  <si>
    <t>ADC</t>
  </si>
  <si>
    <t>Generic connector, single row, 01x02, script generated (kicad-library-utils/schlib/autogen/connector/)</t>
  </si>
  <si>
    <t>J2</t>
  </si>
  <si>
    <t>CURRENT_PUMP_2</t>
  </si>
  <si>
    <t>coaxial connector (BNC, SMA, SMB, SMC, Cinch/RCA, LEMO, ...)</t>
  </si>
  <si>
    <t>J3</t>
  </si>
  <si>
    <t>VOLTAGE_MEASUREMENT_1</t>
  </si>
  <si>
    <t>J4</t>
  </si>
  <si>
    <t>VOLTAGE_MEASUREMENT_2</t>
  </si>
  <si>
    <t>J5</t>
  </si>
  <si>
    <t>PROG</t>
  </si>
  <si>
    <t>Generic connector, double row, 02x04, odd/even pin numbering scheme (row 1 odd numbers, row 2 even numbers), script generated (kicad-library-utils/schlib/autogen/connector/)</t>
  </si>
  <si>
    <t>J6</t>
  </si>
  <si>
    <t>Dual power supply</t>
  </si>
  <si>
    <t>Generic connector, single row, 01x03, script generated</t>
  </si>
  <si>
    <t>J7</t>
  </si>
  <si>
    <t>Single power supply</t>
  </si>
  <si>
    <t>Generic connector, single row, 01x02, script generated</t>
  </si>
  <si>
    <t>J8</t>
  </si>
  <si>
    <t>CURRENT_PUMP_1</t>
  </si>
  <si>
    <t>L1</t>
  </si>
  <si>
    <t>1.0uH</t>
  </si>
  <si>
    <t>L2</t>
  </si>
  <si>
    <t>1.5uH</t>
  </si>
  <si>
    <t>L3</t>
  </si>
  <si>
    <t>1.8uH</t>
  </si>
  <si>
    <t>R1,R2</t>
  </si>
  <si>
    <t>R3,R8,R13,R24,R25,R26</t>
  </si>
  <si>
    <t>R4,R17,R19,R23,R29,R35</t>
  </si>
  <si>
    <t>R5,R6,R16,R21,R28,R31,R33,R34</t>
  </si>
  <si>
    <t>R7</t>
  </si>
  <si>
    <t>R9,R11,R36,R37</t>
  </si>
  <si>
    <t>R10,R12,R18</t>
  </si>
  <si>
    <t>R14,R15,R27</t>
  </si>
  <si>
    <t>R20,R22</t>
  </si>
  <si>
    <t>R30</t>
  </si>
  <si>
    <t>R32,R44</t>
  </si>
  <si>
    <t>R38,R39</t>
  </si>
  <si>
    <t>R40</t>
  </si>
  <si>
    <t>TP1</t>
  </si>
  <si>
    <t>TP_REFOUT</t>
  </si>
  <si>
    <t>test point</t>
  </si>
  <si>
    <t>TP2</t>
  </si>
  <si>
    <t>TP_IOUT</t>
  </si>
  <si>
    <t>TP3</t>
  </si>
  <si>
    <t>TP_IOUTB</t>
  </si>
  <si>
    <t>TP4</t>
  </si>
  <si>
    <t>TP_RESET</t>
  </si>
  <si>
    <t>TP5</t>
  </si>
  <si>
    <t>TP_SDATA</t>
  </si>
  <si>
    <t>TP6</t>
  </si>
  <si>
    <t>TP_SCLK</t>
  </si>
  <si>
    <t>TP7</t>
  </si>
  <si>
    <t>TP_FSYNC</t>
  </si>
  <si>
    <t>TP8</t>
  </si>
  <si>
    <t>TP_MCLK</t>
  </si>
  <si>
    <t>TP9,TP19,TP20,TP28,TP30,TP31</t>
  </si>
  <si>
    <t>TP_GND</t>
  </si>
  <si>
    <t>TP10</t>
  </si>
  <si>
    <t>TP_DIF_SIN</t>
  </si>
  <si>
    <t>TP11</t>
  </si>
  <si>
    <t>+3.3V_TP</t>
  </si>
  <si>
    <t>TP12</t>
  </si>
  <si>
    <t>+5V_TP</t>
  </si>
  <si>
    <t>TP13</t>
  </si>
  <si>
    <t>-5V_TP</t>
  </si>
  <si>
    <t>TP14,TP15</t>
  </si>
  <si>
    <t>GND_TP</t>
  </si>
  <si>
    <t>TP16,TP21,TP22</t>
  </si>
  <si>
    <t>VOUT_FILTERED</t>
  </si>
  <si>
    <t>TP17,TP23,TP26</t>
  </si>
  <si>
    <t>VOUT_BUFFER</t>
  </si>
  <si>
    <t>TP18,TP24,TP27</t>
  </si>
  <si>
    <t>VIN_DiffToSingle</t>
  </si>
  <si>
    <t>TP25</t>
  </si>
  <si>
    <t>GND</t>
  </si>
  <si>
    <t>U1</t>
  </si>
  <si>
    <t>AD9834BRUZ</t>
  </si>
  <si>
    <t>U2,U4,U6,U8</t>
  </si>
  <si>
    <t>AD8130ARZ</t>
  </si>
  <si>
    <t>U3</t>
  </si>
  <si>
    <t>U5,U7,U10</t>
  </si>
  <si>
    <t>U9</t>
  </si>
  <si>
    <t>Y2</t>
  </si>
  <si>
    <t>75MHz</t>
  </si>
  <si>
    <t>2.5x2.0mm</t>
  </si>
  <si>
    <t>HCMOS Crystal Clock Oscillator, 2.5x2.0 mm SMD</t>
  </si>
  <si>
    <t>Quant.</t>
  </si>
  <si>
    <t>475-SFH4253-RCT-ND</t>
  </si>
  <si>
    <t>SFH 4253-R</t>
  </si>
  <si>
    <t>TOPLED</t>
  </si>
  <si>
    <t>Biên</t>
  </si>
  <si>
    <t>732-150283FS73103CT-ND</t>
  </si>
  <si>
    <t>150283FS73103</t>
  </si>
  <si>
    <t>LED IR 730NM 3528</t>
  </si>
  <si>
    <t>535-9542-1-ND</t>
  </si>
  <si>
    <t>ABS07-32.768KHZ-T</t>
  </si>
  <si>
    <t>CRYSTAL 32.7680KHZ 12.5PF SMD</t>
  </si>
  <si>
    <t>535-10630-1-ND</t>
  </si>
  <si>
    <t>ABM3-8.000MHZ-D2Y-T</t>
  </si>
  <si>
    <t>CRYSTAL 8.0000MHZ 18PF SMD</t>
  </si>
  <si>
    <t>296-14273-1-ND</t>
  </si>
  <si>
    <t>CD4052BPWR</t>
  </si>
  <si>
    <t>IC SWITCH SP4TX2 240OHM 16TSSOP</t>
  </si>
  <si>
    <t>296-11993-1-ND</t>
  </si>
  <si>
    <t>CD4051BPWR</t>
  </si>
  <si>
    <t>IC MUX 8:1 240OHM 16TSSOP</t>
  </si>
  <si>
    <t>296-19547-1-ND</t>
  </si>
  <si>
    <t>OPA333AIDCKR</t>
  </si>
  <si>
    <t>IC OPAMP ZERO-DRIFT 1CIRC SC70-5</t>
  </si>
  <si>
    <t>296-16859-5-ND</t>
  </si>
  <si>
    <t>OPA380AID</t>
  </si>
  <si>
    <t>IC TRANSIMPEDANCE 1 CIRC 8SOIC</t>
  </si>
  <si>
    <t>5399-AMS1117-3.3SOT-223CT-ND</t>
  </si>
  <si>
    <t>AMS1117-3.3 SOT-223</t>
  </si>
  <si>
    <t>IC REG LINEAR 3.3V 1A SOT-223</t>
  </si>
  <si>
    <t>1276-2867-1-ND</t>
  </si>
  <si>
    <t>CL10A226KQ8NRNE</t>
  </si>
  <si>
    <t>CAP CER 22UF 6.3V X5R 0603</t>
  </si>
  <si>
    <t>CR0603-FX-1002ELFCT-ND</t>
  </si>
  <si>
    <t>CR0603-FX-1002ELF</t>
  </si>
  <si>
    <t>RES SMD 10K OHM 1% 1/10W 0603</t>
  </si>
  <si>
    <t>13-RC0603FR-0733RLCT-ND</t>
  </si>
  <si>
    <t>RC0603FR-0733RL</t>
  </si>
  <si>
    <t>RES 33 OHM 1% 1/10W 0603</t>
  </si>
  <si>
    <t>RMCF0603FT10R0CT-ND</t>
  </si>
  <si>
    <t>RMCF0603FT10R0</t>
  </si>
  <si>
    <t>RES 10 OHM 1% 1/10W 0603</t>
  </si>
  <si>
    <t>RMCF0603FT4K70CT-ND</t>
  </si>
  <si>
    <t>RMCF0603FT4K70</t>
  </si>
  <si>
    <t>RES 4.7K OHM 1% 1/10W 0603</t>
  </si>
  <si>
    <t>RMCF0603FT1K00CT-ND</t>
  </si>
  <si>
    <t>RMCF0603FT1K00</t>
  </si>
  <si>
    <t>RES 1K OHM 1% 1/10W 0603</t>
  </si>
  <si>
    <t>311-10.0KHRCT-ND</t>
  </si>
  <si>
    <t>13-CC0603FRNPO9BN200CT-ND</t>
  </si>
  <si>
    <t>CC0603FRNPO9BN200</t>
  </si>
  <si>
    <t>CAP CER 20PF 50V C0G/NPO 0603</t>
  </si>
  <si>
    <t>1276-1033-1-ND</t>
  </si>
  <si>
    <t>CL10B104JB8NNNC</t>
  </si>
  <si>
    <t>311-3485-1-ND</t>
  </si>
  <si>
    <t>CC0603JRX7R7BB105</t>
  </si>
  <si>
    <t>CAP CER 1UF 16V X7R 0603</t>
  </si>
  <si>
    <t>13-PA0603FRP070R001LCT-ND</t>
  </si>
  <si>
    <t>PA0603FRP070R001L</t>
  </si>
  <si>
    <t>RES 0.001 OHM 1% 1/10W 0603</t>
  </si>
  <si>
    <t>5407-ESP32-S3-WROOM-1-N8R2CT-ND</t>
  </si>
  <si>
    <t>ESP32-S3-WROOM-1-N8R2</t>
  </si>
  <si>
    <t>SMD MODULE, ESP32-S3R2 WITH 2 MB</t>
  </si>
  <si>
    <t>total (USD)</t>
  </si>
  <si>
    <t>505-LT8300IS5#TRMPBFCT-ND</t>
  </si>
  <si>
    <t>LT8300IS5#TRMPBF</t>
  </si>
  <si>
    <t>IC REG FLYBACK 260MA TSOT23-5</t>
  </si>
  <si>
    <t>https://www.digikey.tw/zh/products/detail/analog-devices-inc/lt8300is5-trmpbf/3676957</t>
  </si>
  <si>
    <t>TSOT23-5</t>
  </si>
  <si>
    <t>TYS6045220M-10</t>
  </si>
  <si>
    <t>FIXED IND 22UH 1.8A 89 MOHM SMD</t>
  </si>
  <si>
    <t>https://www.digikey.tw/en/products/detail/laird-signal-integrity-products/TYS6045220M-10/4733498</t>
  </si>
  <si>
    <t>22u</t>
  </si>
  <si>
    <t>H</t>
  </si>
  <si>
    <t>±20%</t>
  </si>
  <si>
    <t>Fixed Inductors</t>
  </si>
  <si>
    <t>OOS</t>
  </si>
  <si>
    <t>1727-PMEG100T10ELRXTR-ND</t>
  </si>
  <si>
    <t>PMEG100T10ELRX</t>
  </si>
  <si>
    <t>DIODE SCHOTTKY 100V 1A SOD123W</t>
  </si>
  <si>
    <t>https://www.digikey.tw/en/products/detail/nexperia-usa-inc/PMEG100T10ELRX/15777950</t>
  </si>
  <si>
    <t>DO-214AC, SMA</t>
  </si>
  <si>
    <t>SMA ??</t>
  </si>
  <si>
    <t>2019-RK73G2ATTD1004FCT-ND</t>
  </si>
  <si>
    <t>RK73G2ATTD1004F</t>
  </si>
  <si>
    <t>1 MOhms ±1% 0.125W, 1/8W Chip Resistor 0805</t>
  </si>
  <si>
    <t>https://www.digikey.tw/zh/products/detail/koa-speer-electronics-inc/RK73G2ATTD1004F/13576138</t>
  </si>
  <si>
    <t>1M</t>
  </si>
  <si>
    <t>Ohm</t>
  </si>
  <si>
    <t>P20.5KDBCT-ND</t>
  </si>
  <si>
    <t>ERA-3AEB2052V</t>
  </si>
  <si>
    <t>RES SMD 20.5KOHM 0.1% 1/10W 0603</t>
  </si>
  <si>
    <t>https://www.digikey.tw/zh/products/detail/panasonic-industry/ERA-3AEB2052V/2026864</t>
  </si>
  <si>
    <t>20.5k</t>
  </si>
  <si>
    <t>0.1%</t>
  </si>
  <si>
    <t>TMK212AB7475KG-T</t>
  </si>
  <si>
    <t>CAP CER 4.7UF 25V X7R 0805</t>
  </si>
  <si>
    <t>https://www.digikey.tw/en/products/detail/taiyo-yuden/TMK212AB7475KG-T/2714168</t>
  </si>
  <si>
    <t>4.7u</t>
  </si>
  <si>
    <t>F</t>
  </si>
  <si>
    <t>±10%</t>
  </si>
  <si>
    <t>Ceramic Capacitors</t>
  </si>
  <si>
    <t>1276-1184-2-ND</t>
  </si>
  <si>
    <t>CL10B105KA8NNNC</t>
  </si>
  <si>
    <t>https://www.digikey.tw/en/products/detail/samsung-electro-mechanics/CL10B105KA8NNNC/3886842</t>
  </si>
  <si>
    <t>478-KAM32LR72A475KUTR-ND</t>
  </si>
  <si>
    <t>12101C475K4T2A</t>
  </si>
  <si>
    <t>CAP CER 4.7UF 100V X7R 1210</t>
  </si>
  <si>
    <t>https://www.digikey.tw/en/products/detail/kyocera-avx/12101C475K4T2A/9374708</t>
  </si>
  <si>
    <t>1763-1206B104J101N-ND</t>
  </si>
  <si>
    <t>1206B104J101N</t>
  </si>
  <si>
    <t>MLCC 1206 100V 100NF X7R</t>
  </si>
  <si>
    <t>https://www.digikey.tw/en/products/detail/knowles-novacap/1206B104J101N/22208472</t>
  </si>
  <si>
    <t>100n</t>
  </si>
  <si>
    <t xml:space="preserve"> ±5%</t>
  </si>
  <si>
    <t>296-30203-2-ND</t>
  </si>
  <si>
    <t>C0603C104K3RACTU</t>
  </si>
  <si>
    <t>IC REG LIN POS ADJ 100MA 8HVSSOP</t>
  </si>
  <si>
    <t>https://www.digikey.tw/en/products/detail/texas-instruments/TPS7A1601DGNR/2811171?s=N4IgTCBcDaICoAUDKB2AggRgGwAYMBEBxAOQCUQBdAXyA</t>
  </si>
  <si>
    <t>RT0603BRD072K32L</t>
  </si>
  <si>
    <t>RES SMD 2.32KOHM 0.1% 1/10W 0603</t>
  </si>
  <si>
    <t>https://www.digikey.tw/en/products/detail/yageo/RT0603BRD072K32L/1072431?s=N4IgTCBcDaIEoBUAMA2JBmAQnAIkg7GANLpgAyIAugL5A</t>
  </si>
  <si>
    <t>2.32</t>
  </si>
  <si>
    <t>RT0603BRD071KL</t>
  </si>
  <si>
    <t>RES SMD 1K OHM 0.1% 1/10W 0603</t>
  </si>
  <si>
    <t>https://www.digikey.tw/en/products/detail/yageo/RT0603BRD071KL/1072344?s=N4IgTCBcDaIEoBUAMA2JBmAQnAIkg7AIwDSAMiALoC%2BQA</t>
  </si>
  <si>
    <t>490-GRM21BZ71E106KE15LTR-ND</t>
  </si>
  <si>
    <t>GRM21BZ71E106KE15L</t>
  </si>
  <si>
    <t>CAP CER 10UF 25V X7R 0805</t>
  </si>
  <si>
    <t>https://www.digikey.tw/en/products/detail/murata-electronics/GRM21BZ71E106KE15L/13904911</t>
  </si>
  <si>
    <t>AMS1117-3.3</t>
  </si>
  <si>
    <t>IC REG LINEAR 3.3V 1A SOT-223-3L</t>
  </si>
  <si>
    <t>https://www.digikey.tw/en/products/detail/evvo/AMS1117-3-3/22482148</t>
  </si>
  <si>
    <t>GRM21BZ71A226ME15L</t>
  </si>
  <si>
    <t>CAP CER 22UF 10V X7R 0805</t>
  </si>
  <si>
    <t>https://www.digikey.tw/en/products/detail/murata-electronics/GRM21BZ71A226ME15L/13904953</t>
  </si>
  <si>
    <t>LT6375AHMS#PBF</t>
  </si>
  <si>
    <t>Precision diff amp (Howland core)</t>
  </si>
  <si>
    <t>https://www.digikey.tw/en/products/detail/analog-devices-inc/LT6375AHMS-PBF/5825341</t>
  </si>
  <si>
    <t>LTC6090CS8E-5#PBF</t>
  </si>
  <si>
    <t>High-voltage op-amp 140V</t>
  </si>
  <si>
    <t>https://www.digikey.tw/en/products/detail/analog-devices-inc/LTC6090CS8E-5-PBF/4864140</t>
  </si>
  <si>
    <t>ERA-3AEB4990V</t>
  </si>
  <si>
    <t>Resistor 499R 0.1% 0603</t>
  </si>
  <si>
    <t>https://www.digikey.tw/en/products/detail/panasonic-industry/ERA-3AEB4990V/2026721?s=N4IgTCBcDaIKICUCCBaAzEuAhALATjwAYA1EAXQF8g</t>
  </si>
  <si>
    <t>GRM1885C1H103JA01D</t>
  </si>
  <si>
    <t>Cap 10nF 50V C0G 0603</t>
  </si>
  <si>
    <t>https://www.digikey.tw/en/products/detail/murata-electronics/GRM1885C1H103JA01D/4421555?s=N4IgTCBcDaIOICUCyBGAHGgrAYRQCRQAYBmAKQEFCUAREAXQF8g</t>
  </si>
  <si>
    <t>10n</t>
  </si>
  <si>
    <t>GRM1885C1H100JA01D</t>
  </si>
  <si>
    <t>Cap 10pF 50V C0G 0603</t>
  </si>
  <si>
    <t>https://www.digikey.tw/en/products/detail/murata-electronics/GRM1885C1H100JA01D/586930?s=N4IgTCBcDaIOICUCyBGAHGgrAYRQCRQAZCApAQUJQBEQBdAXyA</t>
  </si>
  <si>
    <t>HIP4081AIBZ</t>
  </si>
  <si>
    <t>Full-bridge gate driver 80V</t>
  </si>
  <si>
    <t>https://www.digikey.tw/en/products/detail/renesas-electronics-corporation/HIP4081AIBZ/821444</t>
  </si>
  <si>
    <t>DMN6040SSD-13</t>
  </si>
  <si>
    <t>MOSFET 2N-CH 60V 5A 8SO</t>
  </si>
  <si>
    <t>https://www.digikey.tw/en/products/detail/diodes-incorporated/DMN6040SSD-13/3481129?s=N4IgTCBcDaICIFkByA2ADAFjQZW3AtAIwDMIAugL5A</t>
  </si>
  <si>
    <t>GRM188R71E104KA01D</t>
  </si>
  <si>
    <t>CAP CER 0.1UF 25V X7R 0603</t>
  </si>
  <si>
    <t>https://www.digikey.tw/en/products/detail/kemet/C0603C104K3RACTU/416044</t>
  </si>
  <si>
    <t>ERA-3AEB104V</t>
  </si>
  <si>
    <t>Resistor 100k 0.5% 0603</t>
  </si>
  <si>
    <t>https://www.digikey.tw/en/products/detail/panasonic-industry/ERA-3AEB104V/1465902?s=N4IgTCBcDaIKICUCCBaAzEuAhAjABgBYA1EAXQF8g</t>
  </si>
  <si>
    <t>100k</t>
  </si>
  <si>
    <t>0.5%</t>
  </si>
  <si>
    <t>ERA-3AEB103V</t>
  </si>
  <si>
    <t>Resistor 10k 0.5% 0603</t>
  </si>
  <si>
    <t>https://www.digikey.tw/en/products/detail/panasonic-industry/ERA-3AEB103V/1465878?s=N4IgTCBcDaIKICUCCBaAzEuAhAjABjQDUQBdAXyA</t>
  </si>
  <si>
    <t>10k</t>
  </si>
  <si>
    <t>ESP32-WROOM-32E-N4</t>
  </si>
  <si>
    <t>ESP32 module (has internal DAC)</t>
  </si>
  <si>
    <t>https://www.digikey.tw/en/products/detail/espressif-systems/ESP32-WROOM-32E-N4/11613125</t>
  </si>
  <si>
    <t>ERA-3AEB472V</t>
  </si>
  <si>
    <t>RES SMD 4.7K OHM 0.1% 1/10W 0603</t>
  </si>
  <si>
    <t>https://www.digikey.tw/en/products/detail/panasonic-industry/ERA-3AEB472V/1465870?s=N4IgTCBcDaIKICUCCBaAzEuAhALAdjADUQBdAXyA</t>
  </si>
  <si>
    <t>4.7k</t>
  </si>
  <si>
    <t>ERFSM050162RZ</t>
  </si>
  <si>
    <t>PTC polyfuse 500mA hold</t>
  </si>
  <si>
    <t>https://www.digikey.tw/en/products/detail/excel-cell-electronic-co-ltd/ERFSM050162RZ/25813160</t>
  </si>
  <si>
    <t>SMAJ15CA</t>
  </si>
  <si>
    <t>TVS bidirectional 15V</t>
  </si>
  <si>
    <t>https://www.digikey.tw/en/products/detail/littelfuse-inc/SMAJ15CA/762277</t>
  </si>
  <si>
    <t>ERJ-8ENF1001V</t>
  </si>
  <si>
    <t>Resistor 1k 1% 1/4W 1206</t>
  </si>
  <si>
    <t>https://www.digikey.tw/en/products/detail/panasonic-industry/ERJ-8ENF1001V/86206?s=N4IgTCBcDaIKICUBSBaAHHAcgMQIwAZ9cA1EAXQF8g</t>
  </si>
  <si>
    <t>1k</t>
  </si>
  <si>
    <t>RMCF0603FT27K4</t>
  </si>
  <si>
    <t>RES 27.4K OHM 1% 1/10W 0603</t>
  </si>
  <si>
    <t>https://www.digikey.tw/en/products/detail/stackpole-electronics-inc/RMCF0603FT27K4/1760994</t>
  </si>
  <si>
    <t>27.4k</t>
  </si>
  <si>
    <t>ERA-3AEB101V</t>
  </si>
  <si>
    <t>RES SMD 100 OHM 0.1% 1/10W 0603</t>
  </si>
  <si>
    <t>https://www.digikey.tw/en/products/detail/panasonic-industry/ERA-3AEB101V/1465830?s=N4IgTCBcDaIKICUCCBaAzEuAhAjABhwDUQBdAXyA</t>
  </si>
  <si>
    <t>Khôi</t>
  </si>
  <si>
    <t>https://www.digikey.com/en/products/detail/johanson-technology-inc/QSCP251Q120G1GV001T/1561602</t>
  </si>
  <si>
    <t>Out Of Stock</t>
  </si>
  <si>
    <t>Nga</t>
  </si>
  <si>
    <t>8MSOP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</si>
</sst>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8" formatCode="&quot;$&quot;#,##0.00_);[Red]\(&quot;$&quot;#,##0.00\)"/>
    <numFmt numFmtId="164" formatCode="&quot;$&quot;#,##0.0000_);[Red]\(&quot;$&quot;#,##0.0000\)"/>
    <numFmt numFmtId="165" formatCode="[$¥-804]#,##0;[Red][$¥-804]\-#,##0"/>
    <numFmt numFmtId="166" formatCode="#,##0\ [$₫-42A]"/>
  </numFmts>
  <fonts count="2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rgb="FF000000"/>
      <name val="Calibri"/>
      <family val="2"/>
    </font>
    <font>
      <b/>
      <sz val="11"/>
      <name val="Calibri"/>
      <family val="2"/>
    </font>
    <font>
      <sz val="11"/>
      <color rgb="FF000000"/>
      <name val="Aptos Narrow"/>
      <family val="2"/>
      <scheme val="minor"/>
    </font>
    <font>
      <u/>
      <sz val="11"/>
      <color rgb="FF00000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Calibri"/>
      <family val="2"/>
    </font>
    <font>
      <sz val="10"/>
      <name val="Arial"/>
      <family val="2"/>
    </font>
    <font>
      <sz val="9"/>
      <color rgb="FF222222"/>
      <name val="Roboto"/>
    </font>
    <font>
      <sz val="11"/>
      <color rgb="FF000000"/>
      <name val="Aptos Narrow"/>
      <family val="2"/>
    </font>
    <font>
      <b/>
      <sz val="10"/>
      <name val="Arial"/>
      <family val="2"/>
    </font>
    <font>
      <u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name val="Aptos Narrow"/>
      <family val="2"/>
      <scheme val="minor"/>
    </font>
    <font>
      <sz val="9"/>
      <name val="Roboto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sz val="11"/>
      <color rgb="FF00B050"/>
      <name val="Aptos Narrow"/>
      <family val="2"/>
    </font>
    <font>
      <sz val="11"/>
      <color rgb="FFFF0000"/>
      <name val="Aptos Narrow"/>
      <family val="2"/>
      <scheme val="minor"/>
    </font>
    <font>
      <u/>
      <sz val="11"/>
      <color rgb="FFFF0000"/>
      <name val="Aptos Narrow"/>
      <family val="2"/>
      <scheme val="minor"/>
    </font>
    <font>
      <sz val="11"/>
      <name val="Calibri"/>
    </font>
  </fonts>
  <fills count="27">
    <fill>
      <patternFill patternType="none"/>
    </fill>
    <fill>
      <patternFill patternType="gray125"/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C7CE"/>
      </patternFill>
    </fill>
    <fill>
      <patternFill patternType="solid">
        <fgColor rgb="FFA5A5A5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7E6E6"/>
      </patternFill>
    </fill>
    <fill>
      <patternFill patternType="solid">
        <fgColor rgb="FFFCE4D6"/>
        <bgColor rgb="FFFFF2CC"/>
      </patternFill>
    </fill>
    <fill>
      <patternFill patternType="solid">
        <fgColor rgb="FFEDEDED"/>
        <bgColor rgb="FFE7E6E6"/>
      </patternFill>
    </fill>
    <fill>
      <patternFill patternType="solid">
        <fgColor rgb="FFFFF2F2"/>
        <bgColor rgb="FFEDEDED"/>
      </patternFill>
    </fill>
    <fill>
      <patternFill patternType="solid">
        <fgColor rgb="FFE7E6E6"/>
        <bgColor rgb="FFEDEDED"/>
      </patternFill>
    </fill>
    <fill>
      <patternFill patternType="solid">
        <fgColor rgb="FFF4CCCC"/>
        <bgColor rgb="FFFCE4D6"/>
      </patternFill>
    </fill>
    <fill>
      <patternFill patternType="solid">
        <fgColor rgb="FFFFFFFF"/>
        <bgColor rgb="FFFFF2F2"/>
      </patternFill>
    </fill>
    <fill>
      <patternFill patternType="solid">
        <fgColor theme="0"/>
        <bgColor rgb="FFFCE4D6"/>
      </patternFill>
    </fill>
    <fill>
      <patternFill patternType="solid">
        <fgColor rgb="FF1F3864"/>
        <bgColor rgb="FF3F3F3F"/>
      </patternFill>
    </fill>
    <fill>
      <patternFill patternType="solid">
        <fgColor rgb="FFFFFF00"/>
        <bgColor rgb="FFF5F5F5"/>
      </patternFill>
    </fill>
    <fill>
      <patternFill patternType="solid">
        <fgColor theme="0"/>
        <bgColor rgb="FFE7E6E6"/>
      </patternFill>
    </fill>
    <fill>
      <patternFill patternType="solid">
        <fgColor theme="0"/>
        <bgColor rgb="FFFFF2CC"/>
      </patternFill>
    </fill>
    <fill>
      <patternFill patternType="solid">
        <fgColor theme="0"/>
      </patternFill>
    </fill>
    <fill>
      <patternFill patternType="solid">
        <fgColor theme="0"/>
        <bgColor rgb="FFEDEDED"/>
      </patternFill>
    </fill>
    <fill>
      <patternFill patternType="solid">
        <fgColor theme="0"/>
        <bgColor rgb="FFFFF2F2"/>
      </patternFill>
    </fill>
    <fill>
      <patternFill patternType="solid">
        <fgColor rgb="FFFFFFFF"/>
        <bgColor rgb="FF000000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3" fillId="0" borderId="0" applyNumberFormat="0" applyFill="0" applyBorder="0" applyAlignment="0" applyProtection="0"/>
    <xf numFmtId="0" fontId="9" fillId="8" borderId="0" applyNumberFormat="0" applyBorder="0" applyAlignment="0" applyProtection="0"/>
    <xf numFmtId="0" fontId="10" fillId="9" borderId="6" applyNumberFormat="0" applyAlignment="0" applyProtection="0"/>
  </cellStyleXfs>
  <cellXfs count="198">
    <xf numFmtId="0" fontId="0" fillId="0" borderId="0" xfId="0"/>
    <xf numFmtId="0" fontId="0" fillId="0" borderId="2" xfId="0" applyBorder="1"/>
    <xf numFmtId="164" fontId="0" fillId="0" borderId="2" xfId="0" applyNumberFormat="1" applyBorder="1"/>
    <xf numFmtId="0" fontId="3" fillId="0" borderId="2" xfId="2" applyBorder="1"/>
    <xf numFmtId="164" fontId="0" fillId="4" borderId="2" xfId="0" applyNumberFormat="1" applyFill="1" applyBorder="1"/>
    <xf numFmtId="0" fontId="0" fillId="4" borderId="2" xfId="0" applyFill="1" applyBorder="1"/>
    <xf numFmtId="164" fontId="6" fillId="4" borderId="2" xfId="0" applyNumberFormat="1" applyFont="1" applyFill="1" applyBorder="1"/>
    <xf numFmtId="0" fontId="0" fillId="4" borderId="2" xfId="0" applyFill="1" applyBorder="1" applyAlignment="1">
      <alignment horizontal="right"/>
    </xf>
    <xf numFmtId="0" fontId="0" fillId="0" borderId="2" xfId="0" applyBorder="1" applyAlignment="1">
      <alignment horizontal="right"/>
    </xf>
    <xf numFmtId="0" fontId="0" fillId="0" borderId="2" xfId="0" quotePrefix="1" applyBorder="1" applyAlignment="1">
      <alignment horizontal="right"/>
    </xf>
    <xf numFmtId="166" fontId="0" fillId="0" borderId="2" xfId="0" applyNumberFormat="1" applyBorder="1"/>
    <xf numFmtId="166" fontId="0" fillId="0" borderId="0" xfId="0" applyNumberFormat="1"/>
    <xf numFmtId="0" fontId="0" fillId="7" borderId="3" xfId="0" applyFill="1" applyBorder="1"/>
    <xf numFmtId="0" fontId="0" fillId="7" borderId="1" xfId="0" applyFill="1" applyBorder="1"/>
    <xf numFmtId="166" fontId="8" fillId="0" borderId="4" xfId="0" applyNumberFormat="1" applyFont="1" applyBorder="1"/>
    <xf numFmtId="164" fontId="8" fillId="0" borderId="3" xfId="0" applyNumberFormat="1" applyFont="1" applyBorder="1"/>
    <xf numFmtId="165" fontId="8" fillId="0" borderId="3" xfId="0" applyNumberFormat="1" applyFont="1" applyBorder="1"/>
    <xf numFmtId="0" fontId="0" fillId="0" borderId="5" xfId="0" applyBorder="1"/>
    <xf numFmtId="0" fontId="2" fillId="3" borderId="2" xfId="0" applyFont="1" applyFill="1" applyBorder="1" applyAlignment="1">
      <alignment horizontal="center" vertical="center" wrapText="1"/>
    </xf>
    <xf numFmtId="0" fontId="4" fillId="3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3" fillId="0" borderId="2" xfId="2" applyFill="1" applyBorder="1"/>
    <xf numFmtId="0" fontId="11" fillId="0" borderId="0" xfId="0" applyFont="1"/>
    <xf numFmtId="0" fontId="0" fillId="0" borderId="0" xfId="0" applyAlignment="1">
      <alignment wrapText="1"/>
    </xf>
    <xf numFmtId="3" fontId="12" fillId="10" borderId="2" xfId="0" applyNumberFormat="1" applyFont="1" applyFill="1" applyBorder="1" applyAlignment="1">
      <alignment horizontal="center" vertical="center"/>
    </xf>
    <xf numFmtId="3" fontId="12" fillId="11" borderId="2" xfId="0" applyNumberFormat="1" applyFont="1" applyFill="1" applyBorder="1" applyAlignment="1">
      <alignment horizontal="center" vertical="center"/>
    </xf>
    <xf numFmtId="3" fontId="12" fillId="12" borderId="2" xfId="0" applyNumberFormat="1" applyFont="1" applyFill="1" applyBorder="1" applyAlignment="1">
      <alignment horizontal="center" vertical="center"/>
    </xf>
    <xf numFmtId="3" fontId="12" fillId="13" borderId="2" xfId="0" applyNumberFormat="1" applyFont="1" applyFill="1" applyBorder="1" applyAlignment="1">
      <alignment horizontal="center" vertical="center"/>
    </xf>
    <xf numFmtId="3" fontId="12" fillId="14" borderId="2" xfId="0" applyNumberFormat="1" applyFont="1" applyFill="1" applyBorder="1" applyAlignment="1">
      <alignment horizontal="center" vertical="center"/>
    </xf>
    <xf numFmtId="3" fontId="12" fillId="15" borderId="2" xfId="0" applyNumberFormat="1" applyFont="1" applyFill="1" applyBorder="1" applyAlignment="1">
      <alignment horizontal="center" vertical="center"/>
    </xf>
    <xf numFmtId="3" fontId="12" fillId="16" borderId="2" xfId="0" applyNumberFormat="1" applyFont="1" applyFill="1" applyBorder="1" applyAlignment="1">
      <alignment horizontal="center" vertical="center"/>
    </xf>
    <xf numFmtId="3" fontId="12" fillId="17" borderId="2" xfId="0" applyNumberFormat="1" applyFont="1" applyFill="1" applyBorder="1" applyAlignment="1">
      <alignment horizontal="center" vertical="center"/>
    </xf>
    <xf numFmtId="0" fontId="9" fillId="8" borderId="2" xfId="3" applyBorder="1" applyAlignment="1">
      <alignment vertical="center"/>
    </xf>
    <xf numFmtId="3" fontId="9" fillId="8" borderId="2" xfId="3" applyNumberFormat="1" applyBorder="1" applyAlignment="1">
      <alignment horizontal="center" vertical="center"/>
    </xf>
    <xf numFmtId="0" fontId="9" fillId="8" borderId="2" xfId="3" applyBorder="1" applyAlignment="1"/>
    <xf numFmtId="164" fontId="9" fillId="8" borderId="2" xfId="3" applyNumberFormat="1" applyBorder="1" applyAlignment="1"/>
    <xf numFmtId="166" fontId="9" fillId="8" borderId="2" xfId="3" applyNumberFormat="1" applyBorder="1" applyAlignment="1"/>
    <xf numFmtId="0" fontId="10" fillId="9" borderId="2" xfId="4" applyBorder="1" applyAlignment="1"/>
    <xf numFmtId="0" fontId="10" fillId="9" borderId="2" xfId="4" applyBorder="1" applyAlignment="1">
      <alignment vertical="center"/>
    </xf>
    <xf numFmtId="3" fontId="10" fillId="9" borderId="2" xfId="4" applyNumberFormat="1" applyBorder="1" applyAlignment="1">
      <alignment horizontal="center" vertical="center"/>
    </xf>
    <xf numFmtId="164" fontId="10" fillId="9" borderId="2" xfId="4" applyNumberFormat="1" applyBorder="1" applyAlignment="1"/>
    <xf numFmtId="166" fontId="10" fillId="9" borderId="2" xfId="4" applyNumberFormat="1" applyBorder="1" applyAlignment="1"/>
    <xf numFmtId="0" fontId="10" fillId="9" borderId="2" xfId="4" applyBorder="1" applyAlignment="1">
      <alignment horizontal="right"/>
    </xf>
    <xf numFmtId="0" fontId="3" fillId="4" borderId="2" xfId="2" applyFill="1" applyBorder="1" applyAlignment="1"/>
    <xf numFmtId="3" fontId="12" fillId="18" borderId="2" xfId="0" applyNumberFormat="1" applyFont="1" applyFill="1" applyBorder="1" applyAlignment="1">
      <alignment horizontal="center" vertical="center"/>
    </xf>
    <xf numFmtId="166" fontId="0" fillId="4" borderId="2" xfId="0" applyNumberFormat="1" applyFill="1" applyBorder="1"/>
    <xf numFmtId="9" fontId="0" fillId="0" borderId="2" xfId="0" applyNumberFormat="1" applyBorder="1"/>
    <xf numFmtId="0" fontId="1" fillId="2" borderId="2" xfId="1" applyBorder="1" applyAlignment="1">
      <alignment horizontal="right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3" fillId="0" borderId="2" xfId="2" applyBorder="1" applyAlignment="1"/>
    <xf numFmtId="0" fontId="9" fillId="8" borderId="2" xfId="3" applyBorder="1" applyAlignment="1">
      <alignment horizontal="right"/>
    </xf>
    <xf numFmtId="166" fontId="0" fillId="0" borderId="0" xfId="0" applyNumberFormat="1" applyAlignment="1">
      <alignment wrapText="1"/>
    </xf>
    <xf numFmtId="0" fontId="9" fillId="8" borderId="2" xfId="3" applyBorder="1"/>
    <xf numFmtId="0" fontId="3" fillId="0" borderId="0" xfId="2" applyBorder="1"/>
    <xf numFmtId="0" fontId="14" fillId="0" borderId="0" xfId="0" applyFont="1"/>
    <xf numFmtId="0" fontId="15" fillId="20" borderId="3" xfId="0" applyFont="1" applyFill="1" applyBorder="1"/>
    <xf numFmtId="0" fontId="0" fillId="0" borderId="3" xfId="0" applyBorder="1"/>
    <xf numFmtId="0" fontId="0" fillId="0" borderId="3" xfId="0" quotePrefix="1" applyBorder="1"/>
    <xf numFmtId="0" fontId="14" fillId="4" borderId="3" xfId="0" applyFont="1" applyFill="1" applyBorder="1" applyAlignment="1">
      <alignment horizontal="right"/>
    </xf>
    <xf numFmtId="0" fontId="14" fillId="4" borderId="3" xfId="0" applyFont="1" applyFill="1" applyBorder="1"/>
    <xf numFmtId="0" fontId="0" fillId="0" borderId="3" xfId="0" applyBorder="1" applyAlignment="1">
      <alignment horizontal="right"/>
    </xf>
    <xf numFmtId="3" fontId="0" fillId="0" borderId="3" xfId="0" quotePrefix="1" applyNumberFormat="1" applyBorder="1" applyAlignment="1">
      <alignment horizontal="right"/>
    </xf>
    <xf numFmtId="0" fontId="0" fillId="0" borderId="3" xfId="0" quotePrefix="1" applyBorder="1" applyAlignment="1">
      <alignment horizontal="right"/>
    </xf>
    <xf numFmtId="0" fontId="2" fillId="3" borderId="3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left"/>
    </xf>
    <xf numFmtId="0" fontId="3" fillId="0" borderId="3" xfId="2" applyBorder="1"/>
    <xf numFmtId="164" fontId="0" fillId="0" borderId="3" xfId="0" applyNumberFormat="1" applyBorder="1"/>
    <xf numFmtId="166" fontId="0" fillId="0" borderId="3" xfId="0" applyNumberFormat="1" applyBorder="1"/>
    <xf numFmtId="0" fontId="0" fillId="4" borderId="3" xfId="0" applyFill="1" applyBorder="1" applyAlignment="1">
      <alignment horizontal="right"/>
    </xf>
    <xf numFmtId="0" fontId="1" fillId="2" borderId="3" xfId="1" applyBorder="1" applyAlignment="1">
      <alignment horizontal="right" vertical="center"/>
    </xf>
    <xf numFmtId="0" fontId="3" fillId="0" borderId="3" xfId="2" applyBorder="1" applyAlignment="1">
      <alignment horizontal="left"/>
    </xf>
    <xf numFmtId="164" fontId="0" fillId="0" borderId="3" xfId="0" applyNumberFormat="1" applyBorder="1" applyAlignment="1">
      <alignment horizontal="right"/>
    </xf>
    <xf numFmtId="166" fontId="0" fillId="0" borderId="3" xfId="0" applyNumberFormat="1" applyBorder="1" applyAlignment="1">
      <alignment horizontal="right"/>
    </xf>
    <xf numFmtId="0" fontId="3" fillId="4" borderId="3" xfId="2" applyFill="1" applyBorder="1" applyAlignment="1">
      <alignment horizontal="left"/>
    </xf>
    <xf numFmtId="164" fontId="0" fillId="4" borderId="3" xfId="0" applyNumberFormat="1" applyFill="1" applyBorder="1" applyAlignment="1">
      <alignment horizontal="right"/>
    </xf>
    <xf numFmtId="166" fontId="0" fillId="4" borderId="3" xfId="0" applyNumberFormat="1" applyFill="1" applyBorder="1" applyAlignment="1">
      <alignment horizontal="right"/>
    </xf>
    <xf numFmtId="0" fontId="0" fillId="4" borderId="3" xfId="0" applyFill="1" applyBorder="1" applyAlignment="1">
      <alignment horizontal="left"/>
    </xf>
    <xf numFmtId="0" fontId="0" fillId="5" borderId="3" xfId="0" applyFill="1" applyBorder="1" applyAlignment="1">
      <alignment horizontal="right"/>
    </xf>
    <xf numFmtId="0" fontId="6" fillId="4" borderId="3" xfId="0" applyFont="1" applyFill="1" applyBorder="1" applyAlignment="1">
      <alignment horizontal="left"/>
    </xf>
    <xf numFmtId="0" fontId="7" fillId="4" borderId="3" xfId="2" applyFont="1" applyFill="1" applyBorder="1" applyAlignment="1">
      <alignment horizontal="left"/>
    </xf>
    <xf numFmtId="0" fontId="6" fillId="4" borderId="3" xfId="0" applyFont="1" applyFill="1" applyBorder="1" applyAlignment="1">
      <alignment horizontal="right"/>
    </xf>
    <xf numFmtId="164" fontId="6" fillId="4" borderId="3" xfId="0" applyNumberFormat="1" applyFont="1" applyFill="1" applyBorder="1" applyAlignment="1">
      <alignment horizontal="right"/>
    </xf>
    <xf numFmtId="166" fontId="6" fillId="4" borderId="3" xfId="0" applyNumberFormat="1" applyFont="1" applyFill="1" applyBorder="1" applyAlignment="1">
      <alignment horizontal="right"/>
    </xf>
    <xf numFmtId="0" fontId="7" fillId="4" borderId="3" xfId="2" applyFont="1" applyFill="1" applyBorder="1"/>
    <xf numFmtId="0" fontId="6" fillId="4" borderId="3" xfId="0" applyFont="1" applyFill="1" applyBorder="1"/>
    <xf numFmtId="164" fontId="6" fillId="4" borderId="3" xfId="0" applyNumberFormat="1" applyFont="1" applyFill="1" applyBorder="1"/>
    <xf numFmtId="164" fontId="0" fillId="4" borderId="3" xfId="0" applyNumberFormat="1" applyFill="1" applyBorder="1"/>
    <xf numFmtId="166" fontId="6" fillId="4" borderId="3" xfId="0" applyNumberFormat="1" applyFont="1" applyFill="1" applyBorder="1"/>
    <xf numFmtId="10" fontId="0" fillId="0" borderId="3" xfId="0" applyNumberFormat="1" applyBorder="1" applyAlignment="1">
      <alignment horizontal="right"/>
    </xf>
    <xf numFmtId="0" fontId="6" fillId="5" borderId="3" xfId="0" quotePrefix="1" applyFont="1" applyFill="1" applyBorder="1" applyAlignment="1">
      <alignment horizontal="right"/>
    </xf>
    <xf numFmtId="0" fontId="3" fillId="4" borderId="3" xfId="2" applyFill="1" applyBorder="1"/>
    <xf numFmtId="0" fontId="2" fillId="6" borderId="3" xfId="0" applyFont="1" applyFill="1" applyBorder="1" applyAlignment="1">
      <alignment horizontal="right"/>
    </xf>
    <xf numFmtId="0" fontId="0" fillId="4" borderId="3" xfId="0" applyFill="1" applyBorder="1"/>
    <xf numFmtId="0" fontId="0" fillId="2" borderId="3" xfId="1" applyFont="1" applyBorder="1" applyAlignment="1">
      <alignment horizontal="right" vertical="center"/>
    </xf>
    <xf numFmtId="0" fontId="3" fillId="0" borderId="3" xfId="2" applyFill="1" applyBorder="1" applyAlignment="1">
      <alignment horizontal="left"/>
    </xf>
    <xf numFmtId="9" fontId="0" fillId="0" borderId="3" xfId="0" applyNumberFormat="1" applyBorder="1" applyAlignment="1">
      <alignment horizontal="right"/>
    </xf>
    <xf numFmtId="0" fontId="3" fillId="0" borderId="3" xfId="2" applyFill="1" applyBorder="1"/>
    <xf numFmtId="0" fontId="0" fillId="0" borderId="4" xfId="0" applyBorder="1"/>
    <xf numFmtId="0" fontId="0" fillId="0" borderId="4" xfId="0" applyBorder="1" applyAlignment="1">
      <alignment horizontal="left"/>
    </xf>
    <xf numFmtId="0" fontId="3" fillId="0" borderId="4" xfId="2" applyFill="1" applyBorder="1"/>
    <xf numFmtId="164" fontId="6" fillId="4" borderId="4" xfId="0" applyNumberFormat="1" applyFont="1" applyFill="1" applyBorder="1"/>
    <xf numFmtId="164" fontId="0" fillId="0" borderId="4" xfId="0" applyNumberFormat="1" applyBorder="1"/>
    <xf numFmtId="166" fontId="0" fillId="0" borderId="4" xfId="0" applyNumberFormat="1" applyBorder="1"/>
    <xf numFmtId="0" fontId="0" fillId="0" borderId="4" xfId="0" applyBorder="1" applyAlignment="1">
      <alignment horizontal="right"/>
    </xf>
    <xf numFmtId="0" fontId="0" fillId="5" borderId="2" xfId="0" applyFill="1" applyBorder="1" applyAlignment="1">
      <alignment horizontal="right"/>
    </xf>
    <xf numFmtId="9" fontId="0" fillId="0" borderId="2" xfId="0" applyNumberFormat="1" applyBorder="1" applyAlignment="1">
      <alignment horizontal="right"/>
    </xf>
    <xf numFmtId="0" fontId="0" fillId="5" borderId="4" xfId="0" applyFill="1" applyBorder="1" applyAlignment="1">
      <alignment horizontal="right"/>
    </xf>
    <xf numFmtId="0" fontId="0" fillId="5" borderId="7" xfId="0" applyFill="1" applyBorder="1" applyAlignment="1">
      <alignment horizontal="right"/>
    </xf>
    <xf numFmtId="0" fontId="20" fillId="19" borderId="3" xfId="0" applyFont="1" applyFill="1" applyBorder="1" applyAlignment="1">
      <alignment horizontal="center" vertical="center" wrapText="1"/>
    </xf>
    <xf numFmtId="0" fontId="21" fillId="4" borderId="3" xfId="0" applyFont="1" applyFill="1" applyBorder="1" applyAlignment="1">
      <alignment horizontal="right"/>
    </xf>
    <xf numFmtId="0" fontId="21" fillId="4" borderId="3" xfId="0" applyFont="1" applyFill="1" applyBorder="1"/>
    <xf numFmtId="0" fontId="21" fillId="4" borderId="3" xfId="0" quotePrefix="1" applyFont="1" applyFill="1" applyBorder="1" applyAlignment="1">
      <alignment horizontal="right"/>
    </xf>
    <xf numFmtId="0" fontId="0" fillId="5" borderId="3" xfId="0" applyFill="1" applyBorder="1"/>
    <xf numFmtId="0" fontId="0" fillId="5" borderId="0" xfId="0" applyFill="1"/>
    <xf numFmtId="0" fontId="22" fillId="0" borderId="3" xfId="0" applyFont="1" applyBorder="1"/>
    <xf numFmtId="0" fontId="22" fillId="0" borderId="8" xfId="0" applyFont="1" applyBorder="1"/>
    <xf numFmtId="0" fontId="3" fillId="0" borderId="8" xfId="2" applyFill="1" applyBorder="1" applyAlignment="1"/>
    <xf numFmtId="0" fontId="22" fillId="26" borderId="8" xfId="0" applyFont="1" applyFill="1" applyBorder="1"/>
    <xf numFmtId="8" fontId="22" fillId="26" borderId="8" xfId="0" applyNumberFormat="1" applyFont="1" applyFill="1" applyBorder="1"/>
    <xf numFmtId="8" fontId="22" fillId="0" borderId="8" xfId="0" applyNumberFormat="1" applyFont="1" applyBorder="1"/>
    <xf numFmtId="10" fontId="22" fillId="0" borderId="8" xfId="0" applyNumberFormat="1" applyFont="1" applyBorder="1"/>
    <xf numFmtId="0" fontId="23" fillId="0" borderId="3" xfId="0" applyFont="1" applyBorder="1" applyAlignment="1">
      <alignment horizontal="left"/>
    </xf>
    <xf numFmtId="0" fontId="24" fillId="0" borderId="3" xfId="2" applyFont="1" applyBorder="1"/>
    <xf numFmtId="164" fontId="23" fillId="0" borderId="3" xfId="0" applyNumberFormat="1" applyFont="1" applyBorder="1"/>
    <xf numFmtId="166" fontId="23" fillId="0" borderId="3" xfId="0" applyNumberFormat="1" applyFont="1" applyBorder="1"/>
    <xf numFmtId="0" fontId="23" fillId="0" borderId="3" xfId="0" applyFont="1" applyBorder="1" applyAlignment="1">
      <alignment horizontal="right"/>
    </xf>
    <xf numFmtId="0" fontId="23" fillId="4" borderId="3" xfId="0" applyFont="1" applyFill="1" applyBorder="1" applyAlignment="1">
      <alignment horizontal="right"/>
    </xf>
    <xf numFmtId="0" fontId="23" fillId="2" borderId="3" xfId="1" applyFont="1" applyBorder="1" applyAlignment="1">
      <alignment horizontal="right" vertical="center"/>
    </xf>
    <xf numFmtId="0" fontId="3" fillId="5" borderId="2" xfId="2" applyFill="1" applyBorder="1"/>
    <xf numFmtId="0" fontId="0" fillId="5" borderId="2" xfId="0" applyFill="1" applyBorder="1"/>
    <xf numFmtId="0" fontId="3" fillId="5" borderId="0" xfId="2" applyFill="1" applyBorder="1"/>
    <xf numFmtId="3" fontId="12" fillId="5" borderId="2" xfId="0" applyNumberFormat="1" applyFont="1" applyFill="1" applyBorder="1" applyAlignment="1">
      <alignment horizontal="center" vertical="center"/>
    </xf>
    <xf numFmtId="164" fontId="0" fillId="5" borderId="2" xfId="0" applyNumberFormat="1" applyFill="1" applyBorder="1"/>
    <xf numFmtId="166" fontId="0" fillId="5" borderId="2" xfId="0" applyNumberFormat="1" applyFill="1" applyBorder="1"/>
    <xf numFmtId="0" fontId="0" fillId="5" borderId="2" xfId="0" quotePrefix="1" applyFill="1" applyBorder="1" applyAlignment="1">
      <alignment horizontal="right"/>
    </xf>
    <xf numFmtId="0" fontId="0" fillId="5" borderId="0" xfId="0" applyFill="1" applyAlignment="1">
      <alignment wrapText="1"/>
    </xf>
    <xf numFmtId="0" fontId="12" fillId="5" borderId="2" xfId="0" applyFont="1" applyFill="1" applyBorder="1" applyAlignment="1">
      <alignment vertical="center"/>
    </xf>
    <xf numFmtId="0" fontId="12" fillId="10" borderId="2" xfId="0" applyFont="1" applyFill="1" applyBorder="1" applyAlignment="1">
      <alignment vertical="center"/>
    </xf>
    <xf numFmtId="0" fontId="12" fillId="11" borderId="2" xfId="0" applyFont="1" applyFill="1" applyBorder="1" applyAlignment="1">
      <alignment vertical="center"/>
    </xf>
    <xf numFmtId="0" fontId="12" fillId="12" borderId="2" xfId="0" applyFont="1" applyFill="1" applyBorder="1" applyAlignment="1">
      <alignment vertical="center"/>
    </xf>
    <xf numFmtId="0" fontId="12" fillId="13" borderId="2" xfId="0" applyFont="1" applyFill="1" applyBorder="1" applyAlignment="1">
      <alignment vertical="center"/>
    </xf>
    <xf numFmtId="0" fontId="12" fillId="14" borderId="2" xfId="0" applyFont="1" applyFill="1" applyBorder="1" applyAlignment="1">
      <alignment vertical="center"/>
    </xf>
    <xf numFmtId="0" fontId="12" fillId="16" borderId="2" xfId="0" applyFont="1" applyFill="1" applyBorder="1" applyAlignment="1">
      <alignment vertical="center"/>
    </xf>
    <xf numFmtId="0" fontId="12" fillId="17" borderId="2" xfId="0" applyFont="1" applyFill="1" applyBorder="1" applyAlignment="1">
      <alignment vertical="center"/>
    </xf>
    <xf numFmtId="0" fontId="12" fillId="15" borderId="2" xfId="0" applyFont="1" applyFill="1" applyBorder="1" applyAlignment="1">
      <alignment vertical="center"/>
    </xf>
    <xf numFmtId="0" fontId="0" fillId="0" borderId="3" xfId="0" applyBorder="1" applyAlignment="1">
      <alignment horizontal="right" wrapText="1"/>
    </xf>
    <xf numFmtId="0" fontId="25" fillId="0" borderId="0" xfId="0" applyFont="1"/>
    <xf numFmtId="0" fontId="13" fillId="0" borderId="0" xfId="0" applyFont="1"/>
    <xf numFmtId="166" fontId="8" fillId="0" borderId="3" xfId="0" applyNumberFormat="1" applyFont="1" applyBorder="1"/>
    <xf numFmtId="0" fontId="11" fillId="0" borderId="3" xfId="0" applyFont="1" applyBorder="1"/>
    <xf numFmtId="0" fontId="25" fillId="0" borderId="3" xfId="0" applyFont="1" applyBorder="1"/>
    <xf numFmtId="0" fontId="12" fillId="5" borderId="3" xfId="0" applyFont="1" applyFill="1" applyBorder="1" applyAlignment="1">
      <alignment vertical="center"/>
    </xf>
    <xf numFmtId="0" fontId="3" fillId="5" borderId="3" xfId="2" applyFill="1" applyBorder="1"/>
    <xf numFmtId="0" fontId="17" fillId="5" borderId="3" xfId="0" applyFont="1" applyFill="1" applyBorder="1"/>
    <xf numFmtId="164" fontId="17" fillId="5" borderId="3" xfId="0" applyNumberFormat="1" applyFont="1" applyFill="1" applyBorder="1"/>
    <xf numFmtId="166" fontId="17" fillId="5" borderId="3" xfId="0" applyNumberFormat="1" applyFont="1" applyFill="1" applyBorder="1"/>
    <xf numFmtId="0" fontId="17" fillId="5" borderId="3" xfId="0" quotePrefix="1" applyFont="1" applyFill="1" applyBorder="1" applyAlignment="1">
      <alignment horizontal="right"/>
    </xf>
    <xf numFmtId="0" fontId="12" fillId="18" borderId="3" xfId="0" applyFont="1" applyFill="1" applyBorder="1" applyAlignment="1">
      <alignment vertical="center"/>
    </xf>
    <xf numFmtId="0" fontId="16" fillId="4" borderId="3" xfId="2" applyFont="1" applyFill="1" applyBorder="1"/>
    <xf numFmtId="0" fontId="17" fillId="4" borderId="3" xfId="0" applyFont="1" applyFill="1" applyBorder="1"/>
    <xf numFmtId="164" fontId="17" fillId="4" borderId="3" xfId="0" applyNumberFormat="1" applyFont="1" applyFill="1" applyBorder="1"/>
    <xf numFmtId="166" fontId="17" fillId="4" borderId="3" xfId="0" applyNumberFormat="1" applyFont="1" applyFill="1" applyBorder="1"/>
    <xf numFmtId="0" fontId="17" fillId="4" borderId="3" xfId="0" quotePrefix="1" applyFont="1" applyFill="1" applyBorder="1" applyAlignment="1">
      <alignment horizontal="right"/>
    </xf>
    <xf numFmtId="0" fontId="16" fillId="4" borderId="3" xfId="2" applyFont="1" applyFill="1" applyBorder="1" applyAlignment="1"/>
    <xf numFmtId="0" fontId="17" fillId="4" borderId="3" xfId="0" applyFont="1" applyFill="1" applyBorder="1" applyAlignment="1">
      <alignment horizontal="right"/>
    </xf>
    <xf numFmtId="0" fontId="12" fillId="21" borderId="3" xfId="0" applyFont="1" applyFill="1" applyBorder="1" applyAlignment="1">
      <alignment vertical="center"/>
    </xf>
    <xf numFmtId="0" fontId="16" fillId="5" borderId="3" xfId="2" applyFont="1" applyFill="1" applyBorder="1"/>
    <xf numFmtId="0" fontId="12" fillId="22" borderId="3" xfId="0" applyFont="1" applyFill="1" applyBorder="1" applyAlignment="1">
      <alignment vertical="center"/>
    </xf>
    <xf numFmtId="0" fontId="17" fillId="23" borderId="3" xfId="3" applyFont="1" applyFill="1" applyBorder="1" applyAlignment="1">
      <alignment vertical="center"/>
    </xf>
    <xf numFmtId="0" fontId="17" fillId="23" borderId="3" xfId="3" applyFont="1" applyFill="1" applyBorder="1" applyAlignment="1"/>
    <xf numFmtId="164" fontId="17" fillId="23" borderId="3" xfId="3" applyNumberFormat="1" applyFont="1" applyFill="1" applyBorder="1" applyAlignment="1"/>
    <xf numFmtId="166" fontId="17" fillId="23" borderId="3" xfId="3" applyNumberFormat="1" applyFont="1" applyFill="1" applyBorder="1" applyAlignment="1"/>
    <xf numFmtId="0" fontId="17" fillId="23" borderId="3" xfId="3" applyFont="1" applyFill="1" applyBorder="1" applyAlignment="1">
      <alignment horizontal="right"/>
    </xf>
    <xf numFmtId="0" fontId="17" fillId="23" borderId="3" xfId="3" applyFont="1" applyFill="1" applyBorder="1"/>
    <xf numFmtId="0" fontId="18" fillId="23" borderId="3" xfId="4" applyFont="1" applyFill="1" applyBorder="1" applyAlignment="1">
      <alignment vertical="center"/>
    </xf>
    <xf numFmtId="0" fontId="19" fillId="4" borderId="3" xfId="0" applyFont="1" applyFill="1" applyBorder="1"/>
    <xf numFmtId="164" fontId="18" fillId="23" borderId="3" xfId="4" applyNumberFormat="1" applyFont="1" applyFill="1" applyBorder="1" applyAlignment="1"/>
    <xf numFmtId="166" fontId="18" fillId="23" borderId="3" xfId="4" applyNumberFormat="1" applyFont="1" applyFill="1" applyBorder="1" applyAlignment="1"/>
    <xf numFmtId="0" fontId="18" fillId="23" borderId="3" xfId="4" applyFont="1" applyFill="1" applyBorder="1" applyAlignment="1">
      <alignment horizontal="right"/>
    </xf>
    <xf numFmtId="0" fontId="18" fillId="23" borderId="3" xfId="4" applyFont="1" applyFill="1" applyBorder="1" applyAlignment="1"/>
    <xf numFmtId="9" fontId="17" fillId="4" borderId="3" xfId="0" applyNumberFormat="1" applyFont="1" applyFill="1" applyBorder="1"/>
    <xf numFmtId="0" fontId="12" fillId="24" borderId="3" xfId="0" applyFont="1" applyFill="1" applyBorder="1" applyAlignment="1">
      <alignment vertical="center"/>
    </xf>
    <xf numFmtId="0" fontId="12" fillId="25" borderId="3" xfId="0" applyFont="1" applyFill="1" applyBorder="1" applyAlignment="1">
      <alignment vertical="center"/>
    </xf>
    <xf numFmtId="0" fontId="17" fillId="5" borderId="3" xfId="0" applyFont="1" applyFill="1" applyBorder="1" applyAlignment="1">
      <alignment horizontal="right"/>
    </xf>
    <xf numFmtId="3" fontId="12" fillId="5" borderId="3" xfId="0" applyNumberFormat="1" applyFont="1" applyFill="1" applyBorder="1" applyAlignment="1">
      <alignment horizontal="right" vertical="center"/>
    </xf>
    <xf numFmtId="3" fontId="12" fillId="18" borderId="3" xfId="0" applyNumberFormat="1" applyFont="1" applyFill="1" applyBorder="1" applyAlignment="1">
      <alignment horizontal="right" vertical="center"/>
    </xf>
    <xf numFmtId="3" fontId="12" fillId="21" borderId="3" xfId="0" applyNumberFormat="1" applyFont="1" applyFill="1" applyBorder="1" applyAlignment="1">
      <alignment horizontal="right" vertical="center"/>
    </xf>
    <xf numFmtId="3" fontId="12" fillId="22" borderId="3" xfId="0" applyNumberFormat="1" applyFont="1" applyFill="1" applyBorder="1" applyAlignment="1">
      <alignment horizontal="right" vertical="center"/>
    </xf>
    <xf numFmtId="3" fontId="17" fillId="23" borderId="3" xfId="3" applyNumberFormat="1" applyFont="1" applyFill="1" applyBorder="1" applyAlignment="1">
      <alignment horizontal="right" vertical="center"/>
    </xf>
    <xf numFmtId="3" fontId="18" fillId="23" borderId="3" xfId="4" applyNumberFormat="1" applyFont="1" applyFill="1" applyBorder="1" applyAlignment="1">
      <alignment horizontal="right" vertical="center"/>
    </xf>
    <xf numFmtId="3" fontId="12" fillId="24" borderId="3" xfId="0" applyNumberFormat="1" applyFont="1" applyFill="1" applyBorder="1" applyAlignment="1">
      <alignment horizontal="right" vertical="center"/>
    </xf>
    <xf numFmtId="3" fontId="12" fillId="25" borderId="3" xfId="0" applyNumberFormat="1" applyFont="1" applyFill="1" applyBorder="1" applyAlignment="1">
      <alignment horizontal="right" vertical="center"/>
    </xf>
    <xf numFmtId="0" fontId="0" fillId="0" borderId="3" xfId="0" applyBorder="1" applyAlignment="1">
      <alignment horizontal="right" wrapText="1"/>
    </xf>
    <xf numFmtId="0" fontId="21" fillId="4" borderId="3" xfId="0" applyFont="1" applyFill="1" applyBorder="1"/>
  </cellXfs>
  <cellStyles count="5">
    <cellStyle name="20% - Accent5" xfId="1" builtinId="46"/>
    <cellStyle name="Bad" xfId="3" builtinId="27"/>
    <cellStyle name="Check Cell" xfId="4" builtinId="23"/>
    <cellStyle name="Hyperlink" xfId="2" xr:uid="{00000000-000B-0000-0000-000008000000}"/>
    <cellStyle name="Normal" xfId="0" builtinId="0"/>
  </cellStyles>
  <dxfs count="5">
    <dxf>
      <fill>
        <patternFill>
          <bgColor rgb="FFFFEB9C"/>
        </patternFill>
      </fill>
    </dxf>
    <dxf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com/en/products/detail/murata-electronics/GRM1885C1H470JA01D/586904" TargetMode="External"/><Relationship Id="rId21" Type="http://schemas.openxmlformats.org/officeDocument/2006/relationships/hyperlink" Target="https://www.digikey.com/en/products/detail/yageo/CC0805KKX5R9BB225/5195775" TargetMode="External"/><Relationship Id="rId42" Type="http://schemas.openxmlformats.org/officeDocument/2006/relationships/hyperlink" Target="https://www.digikey.sg/en/products/detail/analog-devices-inc/ADP5070AREZ/5408965?s=N4IgTCBcDaIKwAY4FoCCARACog7A1ASgKIBayAcuiALoC%2BQA" TargetMode="External"/><Relationship Id="rId47" Type="http://schemas.openxmlformats.org/officeDocument/2006/relationships/hyperlink" Target="https://www.digikey.sg/en/products/detail/murata-electronics/GRM21BR61C106KE15L/965900" TargetMode="External"/><Relationship Id="rId63" Type="http://schemas.openxmlformats.org/officeDocument/2006/relationships/hyperlink" Target="https://www.digikey.com/en/products/detail/stackpole-electronics-inc/RNCF0603TKY1K00/2269697" TargetMode="External"/><Relationship Id="rId68" Type="http://schemas.openxmlformats.org/officeDocument/2006/relationships/hyperlink" Target="https://www.digikey.com/en/products/detail/susumu/RG1608N-470-W-T1/600565" TargetMode="External"/><Relationship Id="rId84" Type="http://schemas.openxmlformats.org/officeDocument/2006/relationships/hyperlink" Target="https://www.digikey.com/en/products/detail/kemet/C0603C391F5GACTU/2200659" TargetMode="External"/><Relationship Id="rId89" Type="http://schemas.openxmlformats.org/officeDocument/2006/relationships/hyperlink" Target="https://www.digikey.sg/en/products/detail/yageo/CC0603FRNPO9BN390/5883506" TargetMode="External"/><Relationship Id="rId112" Type="http://schemas.openxmlformats.org/officeDocument/2006/relationships/hyperlink" Target="https://www.digikey.com/en/products/detail/analog-devices-inc/AD8130ARMZ-REEL7/996145" TargetMode="External"/><Relationship Id="rId16" Type="http://schemas.openxmlformats.org/officeDocument/2006/relationships/hyperlink" Target="https://www.digikey.com/en/products/detail/vishay-dale/tnpw060310r0beea/1606539" TargetMode="External"/><Relationship Id="rId107" Type="http://schemas.openxmlformats.org/officeDocument/2006/relationships/hyperlink" Target="https://www.digikey.com/en/products/detail/mcc-micro-commercial-components/SK34A-LTP/2642021" TargetMode="External"/><Relationship Id="rId11" Type="http://schemas.openxmlformats.org/officeDocument/2006/relationships/hyperlink" Target="https://www.digikey.com/en/products/detail/vishay-dale/tnpw0603499rbeea/1606732" TargetMode="External"/><Relationship Id="rId32" Type="http://schemas.openxmlformats.org/officeDocument/2006/relationships/hyperlink" Target="https://www.digikey.com/en/products/detail/murata-electronics/LQW18ANR39J00D/584391" TargetMode="External"/><Relationship Id="rId37" Type="http://schemas.openxmlformats.org/officeDocument/2006/relationships/hyperlink" Target="https://www.digikey.com/en/products/detail/diotec-semiconductor/SMF5-0A/13163545" TargetMode="External"/><Relationship Id="rId53" Type="http://schemas.openxmlformats.org/officeDocument/2006/relationships/hyperlink" Target="https://www.digikey.sg/en/products/detail/murata-electronics/grm1885c1h101ja01d/586921" TargetMode="External"/><Relationship Id="rId58" Type="http://schemas.openxmlformats.org/officeDocument/2006/relationships/hyperlink" Target="https://www.digikey.sg/en/products/detail/murata-electronics/GRM188R61A105KA61D/587071?s=N4IgTCBcDaICwE4AMBaAjAVjgZhWFAcgCIgC6AvkA" TargetMode="External"/><Relationship Id="rId74" Type="http://schemas.openxmlformats.org/officeDocument/2006/relationships/hyperlink" Target="https://www.digikey.com/en/products/detail/kemet/c0402c102k5ractu/411034" TargetMode="External"/><Relationship Id="rId79" Type="http://schemas.openxmlformats.org/officeDocument/2006/relationships/hyperlink" Target="https://www.digikey.com/en/products/detail/kemet/C0603C681F5GACTU/2201080" TargetMode="External"/><Relationship Id="rId102" Type="http://schemas.openxmlformats.org/officeDocument/2006/relationships/hyperlink" Target="https://www.digikey.com/en/products/detail/kemet/C0603C223K5RACTU/416043" TargetMode="External"/><Relationship Id="rId5" Type="http://schemas.openxmlformats.org/officeDocument/2006/relationships/hyperlink" Target="https://www.digikey.com/en/products/detail/vishay-dale/TNPW06036K80BEEA/1606862?s=N4IgTCBcDaICoDkAKB1ADANjQZgwaQA40AhAUVIEEQBdAXyA" TargetMode="External"/><Relationship Id="rId90" Type="http://schemas.openxmlformats.org/officeDocument/2006/relationships/hyperlink" Target="https://www.digikey.com/en/products/detail/kemet/C0805C473J3GACTU/2212853" TargetMode="External"/><Relationship Id="rId95" Type="http://schemas.openxmlformats.org/officeDocument/2006/relationships/hyperlink" Target="https://www.digikey.com/en/products/detail/murata-electronics/GCM31C5C1H104FA16L/11618865" TargetMode="External"/><Relationship Id="rId22" Type="http://schemas.openxmlformats.org/officeDocument/2006/relationships/hyperlink" Target="https://www.digikey.com/en/products/detail/murata-electronics/grm1885c1h181ja01j/2611094" TargetMode="External"/><Relationship Id="rId27" Type="http://schemas.openxmlformats.org/officeDocument/2006/relationships/hyperlink" Target="https://www.digikey.com/en/products/detail/murata-electronics/GRM188R72A104KA35D/702826" TargetMode="External"/><Relationship Id="rId43" Type="http://schemas.openxmlformats.org/officeDocument/2006/relationships/hyperlink" Target="https://www.digikey.sg/en/products/detail/diodes-incorporated/DFLS240-7/1934953" TargetMode="External"/><Relationship Id="rId48" Type="http://schemas.openxmlformats.org/officeDocument/2006/relationships/hyperlink" Target="https://www.digikey.sg/en/products/detail/yageo/rc0603fr-0712kl/726913" TargetMode="External"/><Relationship Id="rId64" Type="http://schemas.openxmlformats.org/officeDocument/2006/relationships/hyperlink" Target="https://www.digikey.com/en/products/detail/stackpole-electronics-inc/RNCF0603TKY499R/4072346" TargetMode="External"/><Relationship Id="rId69" Type="http://schemas.openxmlformats.org/officeDocument/2006/relationships/hyperlink" Target="https://www.digikey.com/en/products/detail/stackpole-electronics-inc/RNCF0603AKT10R0/4928378" TargetMode="External"/><Relationship Id="rId113" Type="http://schemas.openxmlformats.org/officeDocument/2006/relationships/printerSettings" Target="../printerSettings/printerSettings1.bin"/><Relationship Id="rId80" Type="http://schemas.openxmlformats.org/officeDocument/2006/relationships/hyperlink" Target="https://www.digikey.com/en/products/detail/tdk/MLF1608A1R0JT000/612989" TargetMode="External"/><Relationship Id="rId85" Type="http://schemas.openxmlformats.org/officeDocument/2006/relationships/hyperlink" Target="https://www.digikey.com/en/products/detail/samsung-electro-mechanics/CL10C100CB8NNNC/3886727" TargetMode="External"/><Relationship Id="rId12" Type="http://schemas.openxmlformats.org/officeDocument/2006/relationships/hyperlink" Target="https://www.digikey.com/en/products/detail/yageo/rc0603fr-07510rl/727285" TargetMode="External"/><Relationship Id="rId17" Type="http://schemas.openxmlformats.org/officeDocument/2006/relationships/hyperlink" Target="https://www.digikey.com/en/products/detail/murata-electronics/GRM1885C1H200JA01D/586920" TargetMode="External"/><Relationship Id="rId33" Type="http://schemas.openxmlformats.org/officeDocument/2006/relationships/hyperlink" Target="https://www.digikey.com/en/products/detail/murata-electronics/LQW18ANR47J00D/584392" TargetMode="External"/><Relationship Id="rId38" Type="http://schemas.openxmlformats.org/officeDocument/2006/relationships/hyperlink" Target="https://www.digikey.com/en/products/detail/texas-instruments/TPD2E2U06QDBZRQ1/5056067" TargetMode="External"/><Relationship Id="rId59" Type="http://schemas.openxmlformats.org/officeDocument/2006/relationships/hyperlink" Target="https://www.digikey.com/en/products/detail/vishay-dale/CRCW06032K61FKEA/1174713" TargetMode="External"/><Relationship Id="rId103" Type="http://schemas.openxmlformats.org/officeDocument/2006/relationships/hyperlink" Target="https://www.digikey.sg/en/products/detail/murata-electronics/GRM31CR60J476KE19L/2548176" TargetMode="External"/><Relationship Id="rId108" Type="http://schemas.openxmlformats.org/officeDocument/2006/relationships/hyperlink" Target="https://www.digikey.com/en/products/detail/bourns-inc/SRR1260-4R7Y/2352901" TargetMode="External"/><Relationship Id="rId54" Type="http://schemas.openxmlformats.org/officeDocument/2006/relationships/hyperlink" Target="https://www.digikey.sg/en/products/detail/analog-devices-inc/adp7182aujz-5-0-r7/4901224" TargetMode="External"/><Relationship Id="rId70" Type="http://schemas.openxmlformats.org/officeDocument/2006/relationships/hyperlink" Target="https://www.digikey.com/en/products/detail/murata-electronics/GRM1885C1H1R0WA01D/7363086" TargetMode="External"/><Relationship Id="rId75" Type="http://schemas.openxmlformats.org/officeDocument/2006/relationships/hyperlink" Target="https://www.digikey.cn/en/products/detail/vishay-dale/tnpw06031k78beea/1606793" TargetMode="External"/><Relationship Id="rId91" Type="http://schemas.openxmlformats.org/officeDocument/2006/relationships/hyperlink" Target="https://www.digikey.com/en/products/detail/stackpole-electronics-inc/RNCF0603TKY100R/2269696" TargetMode="External"/><Relationship Id="rId96" Type="http://schemas.openxmlformats.org/officeDocument/2006/relationships/hyperlink" Target="https://www.digikey.com/en/products/detail/murata-electronics/GRT1885C1E103FA02D/16033576" TargetMode="External"/><Relationship Id="rId1" Type="http://schemas.openxmlformats.org/officeDocument/2006/relationships/hyperlink" Target="https://www.mouser.vn/ProductDetail/Analog-Devices/AD8302ARUZ-RL7?qs=%2FtpEQrCGXCxf7u2FSUHSPQ%3D%3D" TargetMode="External"/><Relationship Id="rId6" Type="http://schemas.openxmlformats.org/officeDocument/2006/relationships/hyperlink" Target="https://www.digikey.com/en/products/detail/vishay-dale/TNPW0603200RBEEA/1606685?s=N4IgTCBcDaICoDkAKB1ADANjQZjGtASgEICiJAgiALoC%2BQA" TargetMode="External"/><Relationship Id="rId15" Type="http://schemas.openxmlformats.org/officeDocument/2006/relationships/hyperlink" Target="https://www.digikey.com/en/products/detail/yageo/rc0603fr-0710kl/726880" TargetMode="External"/><Relationship Id="rId23" Type="http://schemas.openxmlformats.org/officeDocument/2006/relationships/hyperlink" Target="https://www.digikey.com/en/products/detail/murata-electronics/grm1885c1h301ja01d/586964" TargetMode="External"/><Relationship Id="rId28" Type="http://schemas.openxmlformats.org/officeDocument/2006/relationships/hyperlink" Target="https://www.digikey.com/en/products/detail/murata-electronics/GRM188R72A103KA01D/3845635" TargetMode="External"/><Relationship Id="rId36" Type="http://schemas.openxmlformats.org/officeDocument/2006/relationships/hyperlink" Target="https://www.digikey.com/en/products/detail/littelfuse-inc/1206L050-15YR/1211396" TargetMode="External"/><Relationship Id="rId49" Type="http://schemas.openxmlformats.org/officeDocument/2006/relationships/hyperlink" Target="https://www.digikey.sg/en/products/detail/murata-electronics/GCJ188R71H473KA12D/2785873?s=N4IgTCBcDaICwE4AMBaArADjXFYUDkAREAXQF8g" TargetMode="External"/><Relationship Id="rId57" Type="http://schemas.openxmlformats.org/officeDocument/2006/relationships/hyperlink" Target="https://www.digikey.sg/en/products/detail/murata-electronics/blm18kg601sn1d/1982766" TargetMode="External"/><Relationship Id="rId106" Type="http://schemas.openxmlformats.org/officeDocument/2006/relationships/hyperlink" Target="https://www.digikey.com/en/products/detail/mcc-micro-commercial-components/SK54A-LTP/5114132" TargetMode="External"/><Relationship Id="rId10" Type="http://schemas.openxmlformats.org/officeDocument/2006/relationships/hyperlink" Target="https://www.digikey.com/en/products/detail/yageo/RC0603JR-070RL/726675?s=N4IgTCBcDaIEoGEAMA2JBmAUnAtEg7EnADIgC6AvkA" TargetMode="External"/><Relationship Id="rId31" Type="http://schemas.openxmlformats.org/officeDocument/2006/relationships/hyperlink" Target="https://www.digikey.com/en/products/detail/murata-electronics/LQW18ANR27J00D/584389" TargetMode="External"/><Relationship Id="rId44" Type="http://schemas.openxmlformats.org/officeDocument/2006/relationships/hyperlink" Target="https://www.digikey.sg/en/products/detail/te-connectivity-passive-product/CPF0603B604KE1/7493601?s=N4IgTCBcDaIIwHY5gLQGEAKAxADANhwGYAhAgFgGkBROAFQCUUA5AERAF0BfIA" TargetMode="External"/><Relationship Id="rId52" Type="http://schemas.openxmlformats.org/officeDocument/2006/relationships/hyperlink" Target="https://www.digikey.sg/en/products/detail/analog-devices-inc/adp7142aujz-5-0-r7/5056896" TargetMode="External"/><Relationship Id="rId60" Type="http://schemas.openxmlformats.org/officeDocument/2006/relationships/hyperlink" Target="https://www.digikey.com/en/products/detail/kemet/C0402C151K5RACTU/1933627" TargetMode="External"/><Relationship Id="rId65" Type="http://schemas.openxmlformats.org/officeDocument/2006/relationships/hyperlink" Target="https://www.digikey.com/en/products/detail/susumu/RG2012N-510-W-T1/600657" TargetMode="External"/><Relationship Id="rId73" Type="http://schemas.openxmlformats.org/officeDocument/2006/relationships/hyperlink" Target="https://www.digikey.com/en/products/detail/analog-devices-inc/ADP7118AUJZ-3-3-R7/5056890" TargetMode="External"/><Relationship Id="rId78" Type="http://schemas.openxmlformats.org/officeDocument/2006/relationships/hyperlink" Target="https://www.digikey.com/en/products/detail/kemet/C0603C161F5GACTU/2200035" TargetMode="External"/><Relationship Id="rId81" Type="http://schemas.openxmlformats.org/officeDocument/2006/relationships/hyperlink" Target="https://www.digikey.com/en/products/detail/tdk/MLF1608A1R5JT000/612991" TargetMode="External"/><Relationship Id="rId86" Type="http://schemas.openxmlformats.org/officeDocument/2006/relationships/hyperlink" Target="https://www.digikey.com/en/products/detail/kemet/c0603c121f5gactu/2199842" TargetMode="External"/><Relationship Id="rId94" Type="http://schemas.openxmlformats.org/officeDocument/2006/relationships/hyperlink" Target="https://www.digikey.sg/en/products/detail/panasonic-industry/ERA-3AEB52R3V/2026633" TargetMode="External"/><Relationship Id="rId99" Type="http://schemas.openxmlformats.org/officeDocument/2006/relationships/hyperlink" Target="https://www.digikey.sg/en/products/detail/stackpole-electronics-inc/RMCF0805FT150K/1760472" TargetMode="External"/><Relationship Id="rId101" Type="http://schemas.openxmlformats.org/officeDocument/2006/relationships/hyperlink" Target="https://www.digikey.sg/en/products/detail/murata-electronics/GRM21BR61C106KE15L/965900" TargetMode="External"/><Relationship Id="rId4" Type="http://schemas.openxmlformats.org/officeDocument/2006/relationships/hyperlink" Target="https://www.digikey.com/en/products/detail/analog-devices-inc/AD8130ARMZ-REEL/994072" TargetMode="External"/><Relationship Id="rId9" Type="http://schemas.openxmlformats.org/officeDocument/2006/relationships/hyperlink" Target="https://www.digikey.com/en/products/detail/vishay-dale/TNPW06031K00BEEA/1606767?s=N4IgTCBcDaICoDkAKBGAdABgwaQIK7gCUBaBAERAF0BfIA" TargetMode="External"/><Relationship Id="rId13" Type="http://schemas.openxmlformats.org/officeDocument/2006/relationships/hyperlink" Target="https://www.digikey.com/en/products/detail/yageo-america/rc0603fr-072k67l/22283163" TargetMode="External"/><Relationship Id="rId18" Type="http://schemas.openxmlformats.org/officeDocument/2006/relationships/hyperlink" Target="https://www.digikey.com/en/products/detail/kemet/C0603C104K5RACTU/1465594" TargetMode="External"/><Relationship Id="rId39" Type="http://schemas.openxmlformats.org/officeDocument/2006/relationships/hyperlink" Target="https://www.digikey.sg/en/products/detail/taiwan-semiconductor-corporation/SS24/7369395?s=N4IgTCBcDaIIwA4AMcC0BldYAsAVASqgHIAiIAugL5A" TargetMode="External"/><Relationship Id="rId109" Type="http://schemas.openxmlformats.org/officeDocument/2006/relationships/hyperlink" Target="https://www.digikey.com/en/products/detail/murata-electronics/DFE322520FD-4R7M-P2/10135198" TargetMode="External"/><Relationship Id="rId34" Type="http://schemas.openxmlformats.org/officeDocument/2006/relationships/hyperlink" Target="https://www.digikey.com/en/products/detail/abracon-llc/ASDMB-75-000MHZ-LY-T/2624314" TargetMode="External"/><Relationship Id="rId50" Type="http://schemas.openxmlformats.org/officeDocument/2006/relationships/hyperlink" Target="https://www.digikey.sg/en/products/detail/yageo/RC0603FR-0715KL/726953?s=N4IgTCBcDaIMwEYEFoEFYB0AGA0gCQCUAVA5AOQBEQBdAXyA" TargetMode="External"/><Relationship Id="rId55" Type="http://schemas.openxmlformats.org/officeDocument/2006/relationships/hyperlink" Target="https://www.digikey.sg/en/products/detail/texas-instruments/tps7a2033pdbvr/13566866" TargetMode="External"/><Relationship Id="rId76" Type="http://schemas.openxmlformats.org/officeDocument/2006/relationships/hyperlink" Target="https://www.digikey.com/en/products/detail/koa-speer-electronics-inc/RN73R1JTTD22R0B25/10013029" TargetMode="External"/><Relationship Id="rId97" Type="http://schemas.openxmlformats.org/officeDocument/2006/relationships/hyperlink" Target="https://www.digikey.com/en/products/detail/texas-instruments/TLV75533PDBVR/9356541" TargetMode="External"/><Relationship Id="rId104" Type="http://schemas.openxmlformats.org/officeDocument/2006/relationships/hyperlink" Target="https://www.digikey.com/en/products/detail/vishay-general-semiconductor-diodes-division/smbj12a-e3-52/1091513" TargetMode="External"/><Relationship Id="rId7" Type="http://schemas.openxmlformats.org/officeDocument/2006/relationships/hyperlink" Target="https://www.digikey.com/en/products/detail/vishay-dale/tnpw0603280rbeea/1606702" TargetMode="External"/><Relationship Id="rId71" Type="http://schemas.openxmlformats.org/officeDocument/2006/relationships/hyperlink" Target="https://www.digikey.com/en/products/detail/analog-devices-inc/AD8066ARZ-R7/654014" TargetMode="External"/><Relationship Id="rId92" Type="http://schemas.openxmlformats.org/officeDocument/2006/relationships/hyperlink" Target="https://www.digikey.com/en/products/detail/johanson-technology-inc/QSCP251Q1R0A1GV001T/1919340" TargetMode="External"/><Relationship Id="rId2" Type="http://schemas.openxmlformats.org/officeDocument/2006/relationships/hyperlink" Target="https://www.digikey.com/en/products/detail/analog-devices-inc/AD9834BRUZ-REEL7/994992" TargetMode="External"/><Relationship Id="rId29" Type="http://schemas.openxmlformats.org/officeDocument/2006/relationships/hyperlink" Target="https://www.digikey.com/en/products/detail/panasonic-electronic-components/ERJ-3EKF49R9V/196378" TargetMode="External"/><Relationship Id="rId24" Type="http://schemas.openxmlformats.org/officeDocument/2006/relationships/hyperlink" Target="https://www.digikey.com/en/products/detail/murata-electronics/grm1885c1h331ja01j/2611160" TargetMode="External"/><Relationship Id="rId40" Type="http://schemas.openxmlformats.org/officeDocument/2006/relationships/hyperlink" Target="https://www.digikey.sg/en/products/detail/murata-electronics/grm32er71e226ke15l/2039040" TargetMode="External"/><Relationship Id="rId45" Type="http://schemas.openxmlformats.org/officeDocument/2006/relationships/hyperlink" Target="https://www.digikey.sg/en/products/detail/vishay-dale/TNPW0603100KBEEN/1610202?s=N4IgTCBcDaIKwBYCMBaAzHAbAThWFAcgCIgC6AvkA" TargetMode="External"/><Relationship Id="rId66" Type="http://schemas.openxmlformats.org/officeDocument/2006/relationships/hyperlink" Target="https://www.digikey.com/en/products/detail/panasonic-industry/ERA-3ARW104V/3073685" TargetMode="External"/><Relationship Id="rId87" Type="http://schemas.openxmlformats.org/officeDocument/2006/relationships/hyperlink" Target="https://www.digikey.com/en/products/detail/yageo/CC0603FRNPO9BN820/5883518" TargetMode="External"/><Relationship Id="rId110" Type="http://schemas.openxmlformats.org/officeDocument/2006/relationships/hyperlink" Target="https://www.digikey.com/en/products/detail/taiyo-yuden/NRS5030T6R8MMGJ/4157850" TargetMode="External"/><Relationship Id="rId61" Type="http://schemas.openxmlformats.org/officeDocument/2006/relationships/hyperlink" Target="https://www.digikey.com/en/products/detail/samsung-electro-mechanics/CL10C330JB8NNNC/3886728" TargetMode="External"/><Relationship Id="rId82" Type="http://schemas.openxmlformats.org/officeDocument/2006/relationships/hyperlink" Target="https://www.digikey.com/en/products/detail/tdk/MLF1608A1R8JT000/612992" TargetMode="External"/><Relationship Id="rId19" Type="http://schemas.openxmlformats.org/officeDocument/2006/relationships/hyperlink" Target="https://www.digikey.com/en/products/detail/kemet/C0603C105K3RACTU/3317410" TargetMode="External"/><Relationship Id="rId14" Type="http://schemas.openxmlformats.org/officeDocument/2006/relationships/hyperlink" Target="https://www.digikey.com/en/products/detail/yageo/rc0603fr-0751rl/727281" TargetMode="External"/><Relationship Id="rId30" Type="http://schemas.openxmlformats.org/officeDocument/2006/relationships/hyperlink" Target="https://www.digikey.com/en/products/detail/analog-devices-inc/ad8014arz/620459" TargetMode="External"/><Relationship Id="rId35" Type="http://schemas.openxmlformats.org/officeDocument/2006/relationships/hyperlink" Target="https://www.digikey.com/en/products/detail/texas-instruments/TLV75533PDBVR/9356541" TargetMode="External"/><Relationship Id="rId56" Type="http://schemas.openxmlformats.org/officeDocument/2006/relationships/hyperlink" Target="https://www.digikey.sg/en/products/detail/texas-instruments/tlv75533pdbvr/9356541" TargetMode="External"/><Relationship Id="rId77" Type="http://schemas.openxmlformats.org/officeDocument/2006/relationships/hyperlink" Target="https://www.digikey.com/en/products/detail/murata-electronics/GCM1885C2A561FA16D/11618566" TargetMode="External"/><Relationship Id="rId100" Type="http://schemas.openxmlformats.org/officeDocument/2006/relationships/hyperlink" Target="https://www.digikey.sg/en/products/detail/samsung-electro-mechanics/CL10A225KO8NNNC/3886698" TargetMode="External"/><Relationship Id="rId105" Type="http://schemas.openxmlformats.org/officeDocument/2006/relationships/hyperlink" Target="https://www.digikey.com/en/products/detail/littelfuse-inc/smbj8-5a/688268" TargetMode="External"/><Relationship Id="rId8" Type="http://schemas.openxmlformats.org/officeDocument/2006/relationships/hyperlink" Target="https://www.digikey.com/en/products/detail/yageo/RC0603FR-0722RL/727055?s=N4IgTCBcDaIEoGEAMA2JBmAYnAtEg7GGHADIgC6AvkA" TargetMode="External"/><Relationship Id="rId51" Type="http://schemas.openxmlformats.org/officeDocument/2006/relationships/hyperlink" Target="https://www.digikey.sg/en/products/detail/murata-electronics/gcj188r71h683ka12d/2783812" TargetMode="External"/><Relationship Id="rId72" Type="http://schemas.openxmlformats.org/officeDocument/2006/relationships/hyperlink" Target="https://www.digikey.com/en/products/detail/analog-devices-inc/ADP2303ARDZ-5-0-R7/2606549" TargetMode="External"/><Relationship Id="rId93" Type="http://schemas.openxmlformats.org/officeDocument/2006/relationships/hyperlink" Target="https://www.digikey.com/en/products/detail/panasonic-industry/ERA-3ARW202V/3073698" TargetMode="External"/><Relationship Id="rId98" Type="http://schemas.openxmlformats.org/officeDocument/2006/relationships/hyperlink" Target="https://www.digikey.sg/en/products/detail/yageo/RC0805FR-0724K3L/727758" TargetMode="External"/><Relationship Id="rId3" Type="http://schemas.openxmlformats.org/officeDocument/2006/relationships/hyperlink" Target="https://www.digikey.com/en/products/detail/stmicroelectronics/STM32F411RET6/4935722" TargetMode="External"/><Relationship Id="rId25" Type="http://schemas.openxmlformats.org/officeDocument/2006/relationships/hyperlink" Target="https://www.digikey.com/en/products/detail/murata-electronics/grm1885c1h271ja01j/2611130" TargetMode="External"/><Relationship Id="rId46" Type="http://schemas.openxmlformats.org/officeDocument/2006/relationships/hyperlink" Target="https://www.digikey.sg/en/products/detail/yageo/rc0603fr-07649kl/727346" TargetMode="External"/><Relationship Id="rId67" Type="http://schemas.openxmlformats.org/officeDocument/2006/relationships/hyperlink" Target="https://www.digikey.com/en/products/detail/susumu/RG1608N-103-W-T5/1257543" TargetMode="External"/><Relationship Id="rId20" Type="http://schemas.openxmlformats.org/officeDocument/2006/relationships/hyperlink" Target="https://www.digikey.com/en/products/detail/murata-electronics/grm1555c1h1r0wa01j/4904825" TargetMode="External"/><Relationship Id="rId41" Type="http://schemas.openxmlformats.org/officeDocument/2006/relationships/hyperlink" Target="https://www.digikey.sg/en/products/detail/murata-electronics/grm155r71h104ke14d/4906220" TargetMode="External"/><Relationship Id="rId62" Type="http://schemas.openxmlformats.org/officeDocument/2006/relationships/hyperlink" Target="https://www.digikey.com/en/products/detail/stackpole-electronics-inc/RNCF0603TKY49R9/4072345" TargetMode="External"/><Relationship Id="rId83" Type="http://schemas.openxmlformats.org/officeDocument/2006/relationships/hyperlink" Target="https://www.digikey.com/en/products/detail/yageo/CC0603FRNPO9BN201/11490449" TargetMode="External"/><Relationship Id="rId88" Type="http://schemas.openxmlformats.org/officeDocument/2006/relationships/hyperlink" Target="https://www.digikey.sg/en/products/detail/kyocera-avx/KGM15ACG1H221FT/1116245" TargetMode="External"/><Relationship Id="rId111" Type="http://schemas.openxmlformats.org/officeDocument/2006/relationships/hyperlink" Target="https://www.digikey.com/en/products/detail/murata-electronics/GQM1875C2E120GB12D/2593381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digikey.tw/en/products/detail/samsung-electro-mechanics/CL10B105KA8NNNC/3886842" TargetMode="External"/><Relationship Id="rId18" Type="http://schemas.openxmlformats.org/officeDocument/2006/relationships/hyperlink" Target="https://www.digikey.tw/en/products/detail/panasonic-industry/ERA-3AEB4990V/2026721?s=N4IgTCBcDaIKICUCCBaAzEuAhALATjwAYA1EAXQF8g" TargetMode="External"/><Relationship Id="rId26" Type="http://schemas.openxmlformats.org/officeDocument/2006/relationships/hyperlink" Target="https://www.digikey.tw/en/products/detail/panasonic-industry/ERJ-8ENF1001V/86206?s=N4IgTCBcDaIKICUBSBaAHHAcgMQIwAZ9cA1EAXQF8g" TargetMode="External"/><Relationship Id="rId3" Type="http://schemas.openxmlformats.org/officeDocument/2006/relationships/hyperlink" Target="https://www.digikey.tw/zh/products/detail/panasonic-industry/ERA-3AEB2052V/2026864" TargetMode="External"/><Relationship Id="rId21" Type="http://schemas.openxmlformats.org/officeDocument/2006/relationships/hyperlink" Target="https://www.digikey.tw/en/products/detail/renesas-electronics-corporation/HIP4081AIBZ/821444" TargetMode="External"/><Relationship Id="rId34" Type="http://schemas.openxmlformats.org/officeDocument/2006/relationships/hyperlink" Target="https://www.digikey.tw/en/products/detail/stackpole-electronics-inc/RMCF0603FT27K4/1760994" TargetMode="External"/><Relationship Id="rId7" Type="http://schemas.openxmlformats.org/officeDocument/2006/relationships/hyperlink" Target="https://www.digikey.tw/en/products/detail/samsung-electro-mechanics/CL10B105KA8NNNC/3886842" TargetMode="External"/><Relationship Id="rId12" Type="http://schemas.openxmlformats.org/officeDocument/2006/relationships/hyperlink" Target="https://www.digikey.tw/en/products/detail/yageo/RT0603BRD071KL/1072344?s=N4IgTCBcDaIEoBUAMA2JBmAQnAIkg7AIwDSAMiALoC%2BQA" TargetMode="External"/><Relationship Id="rId17" Type="http://schemas.openxmlformats.org/officeDocument/2006/relationships/hyperlink" Target="https://www.digikey.tw/en/products/detail/analog-devices-inc/LTC6090CS8E-5-PBF/4864140" TargetMode="External"/><Relationship Id="rId25" Type="http://schemas.openxmlformats.org/officeDocument/2006/relationships/hyperlink" Target="https://www.digikey.tw/en/products/detail/panasonic-industry/ERA-3AEB472V/1465870?s=N4IgTCBcDaIKICUCCBaAzEuAhALAdjADUQBdAXyA" TargetMode="External"/><Relationship Id="rId33" Type="http://schemas.openxmlformats.org/officeDocument/2006/relationships/hyperlink" Target="https://www.digikey.tw/en/products/detail/kemet/C0603C104K3RACTU/416044" TargetMode="External"/><Relationship Id="rId2" Type="http://schemas.openxmlformats.org/officeDocument/2006/relationships/hyperlink" Target="https://www.digikey.tw/zh/products/detail/koa-speer-electronics-inc/RK73G2ATTD1004F/13576138" TargetMode="External"/><Relationship Id="rId16" Type="http://schemas.openxmlformats.org/officeDocument/2006/relationships/hyperlink" Target="https://www.digikey.tw/en/products/detail/analog-devices-inc/LT6375AHMS-PBF/5825341" TargetMode="External"/><Relationship Id="rId20" Type="http://schemas.openxmlformats.org/officeDocument/2006/relationships/hyperlink" Target="https://www.digikey.tw/en/products/detail/murata-electronics/GRM1885C1H100JA01D/586930?s=N4IgTCBcDaIOICUCyBGAHGgrAYRQCRQAZCApAQUJQBEQBdAXyA" TargetMode="External"/><Relationship Id="rId29" Type="http://schemas.openxmlformats.org/officeDocument/2006/relationships/hyperlink" Target="https://www.digikey.tw/en/products/detail/excel-cell-electronic-co-ltd/ERFSM050162RZ/25813160" TargetMode="External"/><Relationship Id="rId1" Type="http://schemas.openxmlformats.org/officeDocument/2006/relationships/hyperlink" Target="https://www.digikey.tw/zh/products/detail/analog-devices-inc/lt8300is5-trmpbf/3676957" TargetMode="External"/><Relationship Id="rId6" Type="http://schemas.openxmlformats.org/officeDocument/2006/relationships/hyperlink" Target="https://www.digikey.tw/en/products/detail/taiyo-yuden/TMK212AB7475KG-T/2714168" TargetMode="External"/><Relationship Id="rId11" Type="http://schemas.openxmlformats.org/officeDocument/2006/relationships/hyperlink" Target="https://www.digikey.tw/en/products/detail/yageo/RT0603BRD072K32L/1072431?s=N4IgTCBcDaIEoBUAMA2JBmAQnAIkg7GANLpgAyIAugL5A" TargetMode="External"/><Relationship Id="rId24" Type="http://schemas.openxmlformats.org/officeDocument/2006/relationships/hyperlink" Target="https://www.digikey.tw/en/products/detail/panasonic-industry/ERA-3AEB103V/1465878?s=N4IgTCBcDaIKICUCCBaAzEuAhAjABjQDUQBdAXyA" TargetMode="External"/><Relationship Id="rId32" Type="http://schemas.openxmlformats.org/officeDocument/2006/relationships/hyperlink" Target="https://www.digikey.tw/en/products/detail/diodes-incorporated/DMN6040SSD-13/3481129?s=N4IgTCBcDaICIFkByA2ADAFjQZW3AtAIwDMIAugL5A" TargetMode="External"/><Relationship Id="rId5" Type="http://schemas.openxmlformats.org/officeDocument/2006/relationships/hyperlink" Target="https://www.digikey.tw/en/products/detail/laird-signal-integrity-products/TYS6045220M-10/4733498" TargetMode="External"/><Relationship Id="rId15" Type="http://schemas.openxmlformats.org/officeDocument/2006/relationships/hyperlink" Target="https://www.digikey.tw/en/products/detail/murata-electronics/GRM21BZ71A226ME15L/13904953" TargetMode="External"/><Relationship Id="rId23" Type="http://schemas.openxmlformats.org/officeDocument/2006/relationships/hyperlink" Target="https://www.digikey.tw/en/products/detail/panasonic-industry/ERA-3AEB104V/1465902?s=N4IgTCBcDaIKICUCCBaAzEuAhAjABgBYA1EAXQF8g" TargetMode="External"/><Relationship Id="rId28" Type="http://schemas.openxmlformats.org/officeDocument/2006/relationships/hyperlink" Target="https://www.digikey.tw/en/products/detail/espressif-systems/ESP32-WROOM-32E-N4/11613125" TargetMode="External"/><Relationship Id="rId10" Type="http://schemas.openxmlformats.org/officeDocument/2006/relationships/hyperlink" Target="https://www.digikey.tw/en/products/detail/texas-instruments/TPS7A1601DGNR/2811171?s=N4IgTCBcDaICoAUDKB2AggRgGwAYMBEBxAOQCUQBdAXyA" TargetMode="External"/><Relationship Id="rId19" Type="http://schemas.openxmlformats.org/officeDocument/2006/relationships/hyperlink" Target="https://www.digikey.tw/en/products/detail/murata-electronics/GRM1885C1H103JA01D/4421555?s=N4IgTCBcDaIOICUCyBGAHGgrAYRQCRQAYBmAKQEFCUAREAXQF8g" TargetMode="External"/><Relationship Id="rId31" Type="http://schemas.openxmlformats.org/officeDocument/2006/relationships/hyperlink" Target="https://www.digikey.tw/en/products/detail/evvo/AMS1117-3-3/22482148" TargetMode="External"/><Relationship Id="rId4" Type="http://schemas.openxmlformats.org/officeDocument/2006/relationships/hyperlink" Target="https://www.digikey.tw/en/products/detail/nexperia-usa-inc/PMEG100T10ELRX/15777950" TargetMode="External"/><Relationship Id="rId9" Type="http://schemas.openxmlformats.org/officeDocument/2006/relationships/hyperlink" Target="https://www.digikey.tw/en/products/detail/knowles-novacap/1206B104J101N/22208472" TargetMode="External"/><Relationship Id="rId14" Type="http://schemas.openxmlformats.org/officeDocument/2006/relationships/hyperlink" Target="https://www.digikey.tw/en/products/detail/murata-electronics/GRM21BZ71E106KE15L/13904911" TargetMode="External"/><Relationship Id="rId22" Type="http://schemas.openxmlformats.org/officeDocument/2006/relationships/hyperlink" Target="https://www.digikey.tw/en/products/detail/kemet/C0603C104K3RACTU/416044" TargetMode="External"/><Relationship Id="rId27" Type="http://schemas.openxmlformats.org/officeDocument/2006/relationships/hyperlink" Target="https://www.digikey.tw/en/products/detail/panasonic-industry/ERA-3AEB101V/1465830?s=N4IgTCBcDaIKICUCCBaAzEuAhAjABhwDUQBdAXyA" TargetMode="External"/><Relationship Id="rId30" Type="http://schemas.openxmlformats.org/officeDocument/2006/relationships/hyperlink" Target="https://www.digikey.tw/en/products/detail/littelfuse-inc/SMAJ15CA/762277" TargetMode="External"/><Relationship Id="rId8" Type="http://schemas.openxmlformats.org/officeDocument/2006/relationships/hyperlink" Target="https://www.digikey.tw/en/products/detail/kyocera-avx/12101C475K4T2A/9374708" TargetMode="External"/></Relationships>
</file>

<file path=xl/worksheets/_rels/sheet6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digikey.tw/en/products/detail/panasonic-industry/ERJ-8ENF1001V/86206?s=N4IgTCBcDaIKICUBSBaAHHAcgMQIwAZ9cA1EAXQF8g" TargetMode="External"/><Relationship Id="rId21" Type="http://schemas.openxmlformats.org/officeDocument/2006/relationships/hyperlink" Target="https://www.digikey.tw/en/products/detail/renesas-electronics-corporation/HIP4081AIBZ/821444" TargetMode="External"/><Relationship Id="rId42" Type="http://schemas.openxmlformats.org/officeDocument/2006/relationships/hyperlink" Target="https://www.digikey.com/en/products/detail/murata-electronics/GRM1885C1H1R0WA01D/7363086" TargetMode="External"/><Relationship Id="rId47" Type="http://schemas.openxmlformats.org/officeDocument/2006/relationships/hyperlink" Target="https://www.digikey.com/en/products/detail/koa-speer-electronics-inc/RN73R1JTTD22R0B25/10013029" TargetMode="External"/><Relationship Id="rId63" Type="http://schemas.openxmlformats.org/officeDocument/2006/relationships/hyperlink" Target="https://www.digikey.com/en/products/detail/stackpole-electronics-inc/RNCF0603TKY100R/2269696" TargetMode="External"/><Relationship Id="rId68" Type="http://schemas.openxmlformats.org/officeDocument/2006/relationships/hyperlink" Target="https://www.digikey.com/en/products/detail/murata-electronics/GRT1885C1E103FA02D/16033576" TargetMode="External"/><Relationship Id="rId16" Type="http://schemas.openxmlformats.org/officeDocument/2006/relationships/hyperlink" Target="https://www.digikey.tw/en/products/detail/analog-devices-inc/LT6375AHMS-PBF/5825341" TargetMode="External"/><Relationship Id="rId11" Type="http://schemas.openxmlformats.org/officeDocument/2006/relationships/hyperlink" Target="https://www.digikey.tw/en/products/detail/yageo/RT0603BRD072K32L/1072431?s=N4IgTCBcDaIEoBUAMA2JBmAQnAIkg7GANLpgAyIAugL5A" TargetMode="External"/><Relationship Id="rId32" Type="http://schemas.openxmlformats.org/officeDocument/2006/relationships/hyperlink" Target="https://www.digikey.tw/en/products/detail/kemet/C0603C104K3RACTU/416044" TargetMode="External"/><Relationship Id="rId37" Type="http://schemas.openxmlformats.org/officeDocument/2006/relationships/hyperlink" Target="https://www.digikey.com/en/products/detail/susumu/RG2012N-510-W-T1/600657" TargetMode="External"/><Relationship Id="rId53" Type="http://schemas.openxmlformats.org/officeDocument/2006/relationships/hyperlink" Target="https://www.digikey.com/en/products/detail/tdk/MLF1608A1R8JT000/612992" TargetMode="External"/><Relationship Id="rId58" Type="http://schemas.openxmlformats.org/officeDocument/2006/relationships/hyperlink" Target="https://www.digikey.com/en/products/detail/kemet/c0603c121f5gactu/2199842" TargetMode="External"/><Relationship Id="rId74" Type="http://schemas.openxmlformats.org/officeDocument/2006/relationships/hyperlink" Target="https://www.digikey.com/en/products/detail/kemet/C0603C223K5RACTU/416043" TargetMode="External"/><Relationship Id="rId79" Type="http://schemas.openxmlformats.org/officeDocument/2006/relationships/hyperlink" Target="https://www.digikey.com/en/products/detail/mcc-micro-commercial-components/SK34A-LTP/2642021" TargetMode="External"/><Relationship Id="rId5" Type="http://schemas.openxmlformats.org/officeDocument/2006/relationships/hyperlink" Target="https://www.digikey.tw/en/products/detail/laird-signal-integrity-products/TYS6045220M-10/4733498" TargetMode="External"/><Relationship Id="rId61" Type="http://schemas.openxmlformats.org/officeDocument/2006/relationships/hyperlink" Target="https://www.digikey.sg/en/products/detail/yageo/CC0603FRNPO9BN390/5883506" TargetMode="External"/><Relationship Id="rId82" Type="http://schemas.openxmlformats.org/officeDocument/2006/relationships/hyperlink" Target="https://www.digikey.com/en/products/detail/taiyo-yuden/NRS5030T6R8MMGJ/4157850" TargetMode="External"/><Relationship Id="rId19" Type="http://schemas.openxmlformats.org/officeDocument/2006/relationships/hyperlink" Target="https://www.digikey.tw/en/products/detail/murata-electronics/GRM1885C1H103JA01D/4421555?s=N4IgTCBcDaIOICUCyBGAHGgrAYRQCRQAYBmAKQEFCUAREAXQF8g" TargetMode="External"/><Relationship Id="rId14" Type="http://schemas.openxmlformats.org/officeDocument/2006/relationships/hyperlink" Target="https://www.digikey.tw/en/products/detail/murata-electronics/GRM21BZ71E106KE15L/13904911" TargetMode="External"/><Relationship Id="rId22" Type="http://schemas.openxmlformats.org/officeDocument/2006/relationships/hyperlink" Target="https://www.digikey.tw/en/products/detail/kemet/C0603C104K3RACTU/416044" TargetMode="External"/><Relationship Id="rId27" Type="http://schemas.openxmlformats.org/officeDocument/2006/relationships/hyperlink" Target="https://www.digikey.tw/en/products/detail/panasonic-industry/ERA-3AEB101V/1465830?s=N4IgTCBcDaIKICUCCBaAzEuAhAjABhwDUQBdAXyA" TargetMode="External"/><Relationship Id="rId30" Type="http://schemas.openxmlformats.org/officeDocument/2006/relationships/hyperlink" Target="https://www.digikey.tw/en/products/detail/evvo/AMS1117-3-3/22482148" TargetMode="External"/><Relationship Id="rId35" Type="http://schemas.openxmlformats.org/officeDocument/2006/relationships/hyperlink" Target="https://www.digikey.com/en/products/detail/stackpole-electronics-inc/RNCF0603TKY1K00/2269697" TargetMode="External"/><Relationship Id="rId43" Type="http://schemas.openxmlformats.org/officeDocument/2006/relationships/hyperlink" Target="https://www.digikey.com/en/products/detail/analog-devices-inc/AD8066ARZ-R7/654014" TargetMode="External"/><Relationship Id="rId48" Type="http://schemas.openxmlformats.org/officeDocument/2006/relationships/hyperlink" Target="https://www.digikey.com/en/products/detail/murata-electronics/GCM1885C2A561FA16D/11618566" TargetMode="External"/><Relationship Id="rId56" Type="http://schemas.openxmlformats.org/officeDocument/2006/relationships/hyperlink" Target="https://www.digikey.com/en/products/detail/samsung-electro-mechanics/CL10C100CB8NNNC/3886727" TargetMode="External"/><Relationship Id="rId64" Type="http://schemas.openxmlformats.org/officeDocument/2006/relationships/hyperlink" Target="https://www.digikey.com/en/products/detail/johanson-technology-inc/QSCP251Q1R0A1GV001T/1919340" TargetMode="External"/><Relationship Id="rId69" Type="http://schemas.openxmlformats.org/officeDocument/2006/relationships/hyperlink" Target="https://www.digikey.com/en/products/detail/texas-instruments/TLV75533PDBVR/9356541" TargetMode="External"/><Relationship Id="rId77" Type="http://schemas.openxmlformats.org/officeDocument/2006/relationships/hyperlink" Target="https://www.digikey.com/en/products/detail/littelfuse-inc/smbj8-5a/688268" TargetMode="External"/><Relationship Id="rId8" Type="http://schemas.openxmlformats.org/officeDocument/2006/relationships/hyperlink" Target="https://www.digikey.tw/en/products/detail/kyocera-avx/12101C475K4T2A/9374708" TargetMode="External"/><Relationship Id="rId51" Type="http://schemas.openxmlformats.org/officeDocument/2006/relationships/hyperlink" Target="https://www.digikey.com/en/products/detail/tdk/MLF1608A1R0JT000/612989" TargetMode="External"/><Relationship Id="rId72" Type="http://schemas.openxmlformats.org/officeDocument/2006/relationships/hyperlink" Target="https://www.digikey.sg/en/products/detail/samsung-electro-mechanics/CL10A225KO8NNNC/3886698" TargetMode="External"/><Relationship Id="rId80" Type="http://schemas.openxmlformats.org/officeDocument/2006/relationships/hyperlink" Target="https://www.digikey.com/en/products/detail/bourns-inc/SRR1260-4R7Y/2352901" TargetMode="External"/><Relationship Id="rId3" Type="http://schemas.openxmlformats.org/officeDocument/2006/relationships/hyperlink" Target="https://www.digikey.tw/zh/products/detail/panasonic-industry/ERA-3AEB2052V/2026864" TargetMode="External"/><Relationship Id="rId12" Type="http://schemas.openxmlformats.org/officeDocument/2006/relationships/hyperlink" Target="https://www.digikey.tw/en/products/detail/yageo/RT0603BRD071KL/1072344?s=N4IgTCBcDaIEoBUAMA2JBmAQnAIkg7AIwDSAMiALoC%2BQA" TargetMode="External"/><Relationship Id="rId17" Type="http://schemas.openxmlformats.org/officeDocument/2006/relationships/hyperlink" Target="https://www.digikey.tw/en/products/detail/analog-devices-inc/LTC6090CS8E-5-PBF/4864140" TargetMode="External"/><Relationship Id="rId25" Type="http://schemas.openxmlformats.org/officeDocument/2006/relationships/hyperlink" Target="https://www.digikey.tw/en/products/detail/panasonic-industry/ERA-3AEB472V/1465870?s=N4IgTCBcDaIKICUCCBaAzEuAhALAdjADUQBdAXyA" TargetMode="External"/><Relationship Id="rId33" Type="http://schemas.openxmlformats.org/officeDocument/2006/relationships/hyperlink" Target="https://www.digikey.tw/en/products/detail/stackpole-electronics-inc/RMCF0603FT27K4/1760994" TargetMode="External"/><Relationship Id="rId38" Type="http://schemas.openxmlformats.org/officeDocument/2006/relationships/hyperlink" Target="https://www.digikey.com/en/products/detail/panasonic-industry/ERA-3ARW104V/3073685" TargetMode="External"/><Relationship Id="rId46" Type="http://schemas.openxmlformats.org/officeDocument/2006/relationships/hyperlink" Target="https://www.digikey.com/en/products/detail/kemet/c0402c102k5ractu/411034" TargetMode="External"/><Relationship Id="rId59" Type="http://schemas.openxmlformats.org/officeDocument/2006/relationships/hyperlink" Target="https://www.digikey.com/en/products/detail/yageo/CC0603FRNPO9BN820/5883518" TargetMode="External"/><Relationship Id="rId67" Type="http://schemas.openxmlformats.org/officeDocument/2006/relationships/hyperlink" Target="https://www.digikey.com/en/products/detail/murata-electronics/GCM31C5C1H104FA16L/11618865" TargetMode="External"/><Relationship Id="rId20" Type="http://schemas.openxmlformats.org/officeDocument/2006/relationships/hyperlink" Target="https://www.digikey.tw/en/products/detail/murata-electronics/GRM1885C1H100JA01D/586930?s=N4IgTCBcDaIOICUCyBGAHGgrAYRQCRQAZCApAQUJQBEQBdAXyA" TargetMode="External"/><Relationship Id="rId41" Type="http://schemas.openxmlformats.org/officeDocument/2006/relationships/hyperlink" Target="https://www.digikey.com/en/products/detail/stackpole-electronics-inc/RNCF0603AKT10R0/4928378" TargetMode="External"/><Relationship Id="rId54" Type="http://schemas.openxmlformats.org/officeDocument/2006/relationships/hyperlink" Target="https://www.digikey.com/en/products/detail/yageo/CC0603FRNPO9BN201/11490449" TargetMode="External"/><Relationship Id="rId62" Type="http://schemas.openxmlformats.org/officeDocument/2006/relationships/hyperlink" Target="https://www.digikey.com/en/products/detail/kemet/C0805C473J3GACTU/2212853" TargetMode="External"/><Relationship Id="rId70" Type="http://schemas.openxmlformats.org/officeDocument/2006/relationships/hyperlink" Target="https://www.digikey.sg/en/products/detail/yageo/RC0805FR-0724K3L/727758" TargetMode="External"/><Relationship Id="rId75" Type="http://schemas.openxmlformats.org/officeDocument/2006/relationships/hyperlink" Target="https://www.digikey.sg/en/products/detail/murata-electronics/GRM31CR60J476KE19L/2548176" TargetMode="External"/><Relationship Id="rId83" Type="http://schemas.openxmlformats.org/officeDocument/2006/relationships/hyperlink" Target="https://www.digikey.com/en/products/detail/analog-devices-inc/AD8130ARMZ-REEL/994072" TargetMode="External"/><Relationship Id="rId1" Type="http://schemas.openxmlformats.org/officeDocument/2006/relationships/hyperlink" Target="https://www.digikey.tw/zh/products/detail/analog-devices-inc/lt8300is5-trmpbf/3676957" TargetMode="External"/><Relationship Id="rId6" Type="http://schemas.openxmlformats.org/officeDocument/2006/relationships/hyperlink" Target="https://www.digikey.tw/en/products/detail/taiyo-yuden/TMK212AB7475KG-T/2714168" TargetMode="External"/><Relationship Id="rId15" Type="http://schemas.openxmlformats.org/officeDocument/2006/relationships/hyperlink" Target="https://www.digikey.tw/en/products/detail/murata-electronics/GRM21BZ71A226ME15L/13904953" TargetMode="External"/><Relationship Id="rId23" Type="http://schemas.openxmlformats.org/officeDocument/2006/relationships/hyperlink" Target="https://www.digikey.tw/en/products/detail/panasonic-industry/ERA-3AEB104V/1465902?s=N4IgTCBcDaIKICUCCBaAzEuAhAjABgBYA1EAXQF8g" TargetMode="External"/><Relationship Id="rId28" Type="http://schemas.openxmlformats.org/officeDocument/2006/relationships/hyperlink" Target="https://www.digikey.tw/en/products/detail/excel-cell-electronic-co-ltd/ERFSM050162RZ/25813160" TargetMode="External"/><Relationship Id="rId36" Type="http://schemas.openxmlformats.org/officeDocument/2006/relationships/hyperlink" Target="https://www.digikey.com/en/products/detail/stackpole-electronics-inc/RNCF0603TKY499R/4072346" TargetMode="External"/><Relationship Id="rId49" Type="http://schemas.openxmlformats.org/officeDocument/2006/relationships/hyperlink" Target="https://www.digikey.com/en/products/detail/kemet/C0603C161F5GACTU/2200035" TargetMode="External"/><Relationship Id="rId57" Type="http://schemas.openxmlformats.org/officeDocument/2006/relationships/hyperlink" Target="https://www.digikey.com/en/products/detail/johanson-technology-inc/QSCP251Q120G1GV001T/1561602" TargetMode="External"/><Relationship Id="rId10" Type="http://schemas.openxmlformats.org/officeDocument/2006/relationships/hyperlink" Target="https://www.digikey.tw/en/products/detail/texas-instruments/TPS7A1601DGNR/2811171?s=N4IgTCBcDaICoAUDKB2AggRgGwAYMBEBxAOQCUQBdAXyA" TargetMode="External"/><Relationship Id="rId31" Type="http://schemas.openxmlformats.org/officeDocument/2006/relationships/hyperlink" Target="https://www.digikey.tw/en/products/detail/diodes-incorporated/DMN6040SSD-13/3481129?s=N4IgTCBcDaICIFkByA2ADAFjQZW3AtAIwDMIAugL5A" TargetMode="External"/><Relationship Id="rId44" Type="http://schemas.openxmlformats.org/officeDocument/2006/relationships/hyperlink" Target="https://www.digikey.com/en/products/detail/analog-devices-inc/ADP2303ARDZ-5-0-R7/2606549" TargetMode="External"/><Relationship Id="rId52" Type="http://schemas.openxmlformats.org/officeDocument/2006/relationships/hyperlink" Target="https://www.digikey.com/en/products/detail/tdk/MLF1608A1R5JT000/612991" TargetMode="External"/><Relationship Id="rId60" Type="http://schemas.openxmlformats.org/officeDocument/2006/relationships/hyperlink" Target="https://www.digikey.sg/en/products/detail/kyocera-avx/KGM15ACG1H221FT/1116245" TargetMode="External"/><Relationship Id="rId65" Type="http://schemas.openxmlformats.org/officeDocument/2006/relationships/hyperlink" Target="https://www.digikey.com/en/products/detail/panasonic-industry/ERA-3ARW202V/3073698" TargetMode="External"/><Relationship Id="rId73" Type="http://schemas.openxmlformats.org/officeDocument/2006/relationships/hyperlink" Target="https://www.digikey.sg/en/products/detail/murata-electronics/GRM21BR61C106KE15L/965900" TargetMode="External"/><Relationship Id="rId78" Type="http://schemas.openxmlformats.org/officeDocument/2006/relationships/hyperlink" Target="https://www.digikey.com/en/products/detail/mcc-micro-commercial-components/SK54A-LTP/5114132" TargetMode="External"/><Relationship Id="rId81" Type="http://schemas.openxmlformats.org/officeDocument/2006/relationships/hyperlink" Target="https://www.digikey.com/en/products/detail/murata-electronics/DFE322520FD-4R7M-P2/10135198" TargetMode="External"/><Relationship Id="rId4" Type="http://schemas.openxmlformats.org/officeDocument/2006/relationships/hyperlink" Target="https://www.digikey.tw/en/products/detail/nexperia-usa-inc/PMEG100T10ELRX/15777950" TargetMode="External"/><Relationship Id="rId9" Type="http://schemas.openxmlformats.org/officeDocument/2006/relationships/hyperlink" Target="https://www.digikey.tw/en/products/detail/knowles-novacap/1206B104J101N/22208472" TargetMode="External"/><Relationship Id="rId13" Type="http://schemas.openxmlformats.org/officeDocument/2006/relationships/hyperlink" Target="https://www.digikey.tw/en/products/detail/samsung-electro-mechanics/CL10B105KA8NNNC/3886842" TargetMode="External"/><Relationship Id="rId18" Type="http://schemas.openxmlformats.org/officeDocument/2006/relationships/hyperlink" Target="https://www.digikey.tw/en/products/detail/panasonic-industry/ERA-3AEB4990V/2026721?s=N4IgTCBcDaIKICUCCBaAzEuAhALATjwAYA1EAXQF8g" TargetMode="External"/><Relationship Id="rId39" Type="http://schemas.openxmlformats.org/officeDocument/2006/relationships/hyperlink" Target="https://www.digikey.com/en/products/detail/susumu/RG1608N-103-W-T5/1257543" TargetMode="External"/><Relationship Id="rId34" Type="http://schemas.openxmlformats.org/officeDocument/2006/relationships/hyperlink" Target="https://www.digikey.com/en/products/detail/stackpole-electronics-inc/RNCF0603TKY49R9/4072345" TargetMode="External"/><Relationship Id="rId50" Type="http://schemas.openxmlformats.org/officeDocument/2006/relationships/hyperlink" Target="https://www.digikey.com/en/products/detail/kemet/C0603C681F5GACTU/2201080" TargetMode="External"/><Relationship Id="rId55" Type="http://schemas.openxmlformats.org/officeDocument/2006/relationships/hyperlink" Target="https://www.digikey.com/en/products/detail/kemet/C0603C391F5GACTU/2200659" TargetMode="External"/><Relationship Id="rId76" Type="http://schemas.openxmlformats.org/officeDocument/2006/relationships/hyperlink" Target="https://www.digikey.com/en/products/detail/vishay-general-semiconductor-diodes-division/smbj12a-e3-52/1091513" TargetMode="External"/><Relationship Id="rId7" Type="http://schemas.openxmlformats.org/officeDocument/2006/relationships/hyperlink" Target="https://www.digikey.tw/en/products/detail/samsung-electro-mechanics/CL10B105KA8NNNC/3886842" TargetMode="External"/><Relationship Id="rId71" Type="http://schemas.openxmlformats.org/officeDocument/2006/relationships/hyperlink" Target="https://www.digikey.sg/en/products/detail/stackpole-electronics-inc/RMCF0805FT150K/1760472" TargetMode="External"/><Relationship Id="rId2" Type="http://schemas.openxmlformats.org/officeDocument/2006/relationships/hyperlink" Target="https://www.digikey.tw/zh/products/detail/koa-speer-electronics-inc/RK73G2ATTD1004F/13576138" TargetMode="External"/><Relationship Id="rId29" Type="http://schemas.openxmlformats.org/officeDocument/2006/relationships/hyperlink" Target="https://www.digikey.tw/en/products/detail/littelfuse-inc/SMAJ15CA/762277" TargetMode="External"/><Relationship Id="rId24" Type="http://schemas.openxmlformats.org/officeDocument/2006/relationships/hyperlink" Target="https://www.digikey.tw/en/products/detail/panasonic-industry/ERA-3AEB103V/1465878?s=N4IgTCBcDaIKICUCCBaAzEuAhAjABjQDUQBdAXyA" TargetMode="External"/><Relationship Id="rId40" Type="http://schemas.openxmlformats.org/officeDocument/2006/relationships/hyperlink" Target="https://www.digikey.com/en/products/detail/susumu/RG1608N-470-W-T1/600565" TargetMode="External"/><Relationship Id="rId45" Type="http://schemas.openxmlformats.org/officeDocument/2006/relationships/hyperlink" Target="https://www.digikey.com/en/products/detail/analog-devices-inc/ADP7118AUJZ-3-3-R7/5056890" TargetMode="External"/><Relationship Id="rId66" Type="http://schemas.openxmlformats.org/officeDocument/2006/relationships/hyperlink" Target="https://www.digikey.sg/en/products/detail/panasonic-industry/ERA-3AEB52R3V/20266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A4F97-B59B-4A33-BD02-D62B07553550}">
  <sheetPr filterMode="1"/>
  <dimension ref="A1:T130"/>
  <sheetViews>
    <sheetView tabSelected="1" zoomScaleNormal="100" workbookViewId="0">
      <selection activeCell="E36" sqref="E36"/>
    </sheetView>
  </sheetViews>
  <sheetFormatPr defaultRowHeight="15" x14ac:dyDescent="0.25"/>
  <cols>
    <col min="1" max="1" width="5.85546875" customWidth="1"/>
    <col min="2" max="2" width="29.42578125" style="49" customWidth="1"/>
    <col min="3" max="3" width="23.85546875" style="49" customWidth="1"/>
    <col min="4" max="4" width="41.7109375" style="49" customWidth="1"/>
    <col min="5" max="5" width="33.140625" style="49" customWidth="1"/>
    <col min="6" max="6" width="7" customWidth="1"/>
    <col min="7" max="7" width="12.85546875" customWidth="1"/>
    <col min="8" max="8" width="11.5703125" customWidth="1"/>
    <col min="9" max="9" width="13.5703125" style="11" customWidth="1"/>
    <col min="10" max="10" width="8.5703125" customWidth="1"/>
    <col min="11" max="11" width="9.42578125" customWidth="1"/>
    <col min="12" max="12" width="9.85546875" customWidth="1"/>
    <col min="13" max="13" width="9.7109375" customWidth="1"/>
    <col min="14" max="14" width="10" customWidth="1"/>
    <col min="15" max="15" width="10.28515625" customWidth="1"/>
    <col min="16" max="16" width="10.85546875" customWidth="1"/>
    <col min="17" max="18" width="10.140625" customWidth="1"/>
    <col min="19" max="19" width="19.42578125" customWidth="1"/>
    <col min="20" max="20" width="16" bestFit="1" customWidth="1"/>
  </cols>
  <sheetData>
    <row r="1" spans="1:20" s="48" customFormat="1" ht="41.25" customHeight="1" x14ac:dyDescent="0.25">
      <c r="A1" s="65" t="s">
        <v>0</v>
      </c>
      <c r="B1" s="66" t="s">
        <v>1</v>
      </c>
      <c r="C1" s="66" t="s">
        <v>2</v>
      </c>
      <c r="D1" s="67" t="s">
        <v>3</v>
      </c>
      <c r="E1" s="66" t="s">
        <v>4</v>
      </c>
      <c r="F1" s="66" t="s">
        <v>5</v>
      </c>
      <c r="G1" s="67" t="s">
        <v>6</v>
      </c>
      <c r="H1" s="67" t="s">
        <v>7</v>
      </c>
      <c r="I1" s="67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66" t="s">
        <v>16</v>
      </c>
    </row>
    <row r="2" spans="1:20" hidden="1" x14ac:dyDescent="0.25">
      <c r="A2" s="58">
        <v>1</v>
      </c>
      <c r="B2" s="68" t="s">
        <v>17</v>
      </c>
      <c r="C2" s="68" t="s">
        <v>18</v>
      </c>
      <c r="D2" s="68" t="s">
        <v>19</v>
      </c>
      <c r="E2" s="69" t="s">
        <v>20</v>
      </c>
      <c r="F2" s="58">
        <v>4</v>
      </c>
      <c r="G2" s="70">
        <v>17.920000000000002</v>
      </c>
      <c r="H2" s="70">
        <f t="shared" ref="H2:H33" si="0">G2*F2</f>
        <v>71.680000000000007</v>
      </c>
      <c r="I2" s="71">
        <f>H2*26190</f>
        <v>1877299.2000000002</v>
      </c>
      <c r="J2" s="62" t="s">
        <v>21</v>
      </c>
      <c r="K2" s="62" t="s">
        <v>22</v>
      </c>
      <c r="L2" s="72" t="s">
        <v>21</v>
      </c>
      <c r="M2" s="62" t="s">
        <v>23</v>
      </c>
      <c r="N2" s="62" t="s">
        <v>24</v>
      </c>
      <c r="O2" s="62" t="s">
        <v>25</v>
      </c>
      <c r="P2" s="73" t="s">
        <v>26</v>
      </c>
      <c r="Q2" s="58"/>
      <c r="S2" s="12" t="s">
        <v>27</v>
      </c>
      <c r="T2" s="15">
        <f>SUM($H:$H)</f>
        <v>827.64275000000032</v>
      </c>
    </row>
    <row r="3" spans="1:20" hidden="1" x14ac:dyDescent="0.25">
      <c r="A3" s="58">
        <v>2</v>
      </c>
      <c r="B3" s="68" t="s">
        <v>28</v>
      </c>
      <c r="C3" s="68" t="s">
        <v>29</v>
      </c>
      <c r="D3" s="68" t="s">
        <v>30</v>
      </c>
      <c r="E3" s="69" t="s">
        <v>31</v>
      </c>
      <c r="F3" s="58">
        <v>4</v>
      </c>
      <c r="G3" s="70">
        <v>34.64</v>
      </c>
      <c r="H3" s="70">
        <f t="shared" si="0"/>
        <v>138.56</v>
      </c>
      <c r="I3" s="71">
        <f t="shared" ref="I3:I5" si="1">H3*26190</f>
        <v>3628886.4</v>
      </c>
      <c r="J3" s="62" t="s">
        <v>21</v>
      </c>
      <c r="K3" s="62" t="s">
        <v>22</v>
      </c>
      <c r="L3" s="72" t="s">
        <v>21</v>
      </c>
      <c r="M3" s="62" t="s">
        <v>32</v>
      </c>
      <c r="N3" s="62" t="s">
        <v>24</v>
      </c>
      <c r="O3" s="62" t="s">
        <v>25</v>
      </c>
      <c r="P3" s="73" t="s">
        <v>26</v>
      </c>
      <c r="Q3" s="58"/>
      <c r="S3" s="13" t="s">
        <v>33</v>
      </c>
      <c r="T3" s="14">
        <f>SUM($I:$I)</f>
        <v>21615726.622499995</v>
      </c>
    </row>
    <row r="4" spans="1:20" hidden="1" x14ac:dyDescent="0.25">
      <c r="A4" s="58">
        <v>3</v>
      </c>
      <c r="B4" s="68" t="s">
        <v>34</v>
      </c>
      <c r="C4" s="68" t="s">
        <v>35</v>
      </c>
      <c r="D4" s="68" t="s">
        <v>36</v>
      </c>
      <c r="E4" s="69" t="s">
        <v>37</v>
      </c>
      <c r="F4" s="58">
        <v>2</v>
      </c>
      <c r="G4" s="70">
        <v>6.69</v>
      </c>
      <c r="H4" s="70">
        <f t="shared" si="0"/>
        <v>13.38</v>
      </c>
      <c r="I4" s="71">
        <f t="shared" si="1"/>
        <v>350422.2</v>
      </c>
      <c r="J4" s="62" t="s">
        <v>21</v>
      </c>
      <c r="K4" s="62" t="s">
        <v>22</v>
      </c>
      <c r="L4" s="62"/>
      <c r="M4" s="62" t="s">
        <v>38</v>
      </c>
      <c r="N4" s="62" t="s">
        <v>39</v>
      </c>
      <c r="O4" s="62" t="s">
        <v>25</v>
      </c>
      <c r="P4" s="73" t="s">
        <v>26</v>
      </c>
      <c r="Q4" s="58"/>
      <c r="S4" s="12" t="s">
        <v>40</v>
      </c>
      <c r="T4" s="16">
        <f>$T$2*31.63</f>
        <v>26178.340182500011</v>
      </c>
    </row>
    <row r="5" spans="1:20" hidden="1" x14ac:dyDescent="0.25">
      <c r="A5" s="58">
        <v>4</v>
      </c>
      <c r="B5" s="68" t="s">
        <v>41</v>
      </c>
      <c r="C5" s="68" t="s">
        <v>42</v>
      </c>
      <c r="D5" s="68" t="s">
        <v>43</v>
      </c>
      <c r="E5" s="69" t="s">
        <v>44</v>
      </c>
      <c r="F5" s="58">
        <v>6</v>
      </c>
      <c r="G5" s="70">
        <v>5.18</v>
      </c>
      <c r="H5" s="70">
        <f t="shared" si="0"/>
        <v>31.08</v>
      </c>
      <c r="I5" s="71">
        <f t="shared" si="1"/>
        <v>813985.2</v>
      </c>
      <c r="J5" s="62" t="s">
        <v>21</v>
      </c>
      <c r="K5" s="62" t="s">
        <v>22</v>
      </c>
      <c r="L5" s="72" t="s">
        <v>21</v>
      </c>
      <c r="M5" s="62" t="s">
        <v>45</v>
      </c>
      <c r="N5" s="62" t="s">
        <v>24</v>
      </c>
      <c r="O5" s="62" t="s">
        <v>25</v>
      </c>
      <c r="P5" s="73" t="s">
        <v>26</v>
      </c>
      <c r="Q5" s="58"/>
    </row>
    <row r="6" spans="1:20" x14ac:dyDescent="0.25">
      <c r="A6" s="58">
        <v>5</v>
      </c>
      <c r="B6" s="68" t="s">
        <v>46</v>
      </c>
      <c r="C6" s="68" t="s">
        <v>47</v>
      </c>
      <c r="D6" s="68" t="s">
        <v>48</v>
      </c>
      <c r="E6" s="74" t="s">
        <v>49</v>
      </c>
      <c r="F6" s="62">
        <v>25</v>
      </c>
      <c r="G6" s="75">
        <v>0.23</v>
      </c>
      <c r="H6" s="75">
        <f t="shared" si="0"/>
        <v>5.75</v>
      </c>
      <c r="I6" s="76">
        <f>H6*26190</f>
        <v>150592.5</v>
      </c>
      <c r="J6" s="62" t="str">
        <f t="shared" ref="J6:J18" si="2">TRIM(LEFT(SUBSTITUTE(TRIM(SUBSTITUTE(SUBSTITUTE(D6,"RES",""),"SMD",""))," ",REPT(" ",100)),100))</f>
        <v>6.8K</v>
      </c>
      <c r="K6" s="62" t="s">
        <v>50</v>
      </c>
      <c r="L6" s="62" t="str">
        <f>_xlfn.TEXTAFTER(_xlfn.TEXTBEFORE(D6, "%"), " ", -1) &amp; "%"</f>
        <v>0.1%</v>
      </c>
      <c r="M6" s="72" t="str">
        <f t="shared" ref="M6:M31" si="3">RIGHT(TRIM(D6), 4)</f>
        <v>0603</v>
      </c>
      <c r="N6" s="62" t="s">
        <v>51</v>
      </c>
      <c r="O6" s="62" t="s">
        <v>25</v>
      </c>
      <c r="P6" s="73" t="s">
        <v>26</v>
      </c>
      <c r="Q6" s="62"/>
    </row>
    <row r="7" spans="1:20" x14ac:dyDescent="0.25">
      <c r="A7" s="58">
        <v>6</v>
      </c>
      <c r="B7" s="68" t="s">
        <v>52</v>
      </c>
      <c r="C7" s="68" t="s">
        <v>53</v>
      </c>
      <c r="D7" s="68" t="s">
        <v>54</v>
      </c>
      <c r="E7" s="74" t="s">
        <v>55</v>
      </c>
      <c r="F7" s="62">
        <v>25</v>
      </c>
      <c r="G7" s="75">
        <v>0.23</v>
      </c>
      <c r="H7" s="75">
        <f t="shared" si="0"/>
        <v>5.75</v>
      </c>
      <c r="I7" s="76">
        <f t="shared" ref="I7:I40" si="4">H7*26190</f>
        <v>150592.5</v>
      </c>
      <c r="J7" s="62" t="str">
        <f t="shared" si="2"/>
        <v>200</v>
      </c>
      <c r="K7" s="62" t="s">
        <v>50</v>
      </c>
      <c r="L7" s="62" t="str">
        <f>_xlfn.TEXTAFTER(_xlfn.TEXTBEFORE(D7, "%"), " ", -1) &amp; "%"</f>
        <v>0.1%</v>
      </c>
      <c r="M7" s="72" t="str">
        <f t="shared" si="3"/>
        <v>0603</v>
      </c>
      <c r="N7" s="62" t="s">
        <v>51</v>
      </c>
      <c r="O7" s="62" t="s">
        <v>25</v>
      </c>
      <c r="P7" s="73" t="s">
        <v>26</v>
      </c>
      <c r="Q7" s="62"/>
    </row>
    <row r="8" spans="1:20" x14ac:dyDescent="0.25">
      <c r="A8" s="58">
        <v>7</v>
      </c>
      <c r="B8" s="68" t="s">
        <v>56</v>
      </c>
      <c r="C8" s="68" t="s">
        <v>57</v>
      </c>
      <c r="D8" s="68" t="s">
        <v>58</v>
      </c>
      <c r="E8" s="74" t="s">
        <v>59</v>
      </c>
      <c r="F8" s="62">
        <v>25</v>
      </c>
      <c r="G8" s="75">
        <v>0.23</v>
      </c>
      <c r="H8" s="75">
        <f t="shared" si="0"/>
        <v>5.75</v>
      </c>
      <c r="I8" s="76">
        <f t="shared" si="4"/>
        <v>150592.5</v>
      </c>
      <c r="J8" s="62" t="str">
        <f t="shared" si="2"/>
        <v>280</v>
      </c>
      <c r="K8" s="62" t="s">
        <v>50</v>
      </c>
      <c r="L8" s="62" t="str">
        <f>_xlfn.TEXTAFTER(_xlfn.TEXTBEFORE(D8, "%"), " ", -1) &amp; "%"</f>
        <v>0.1%</v>
      </c>
      <c r="M8" s="72" t="str">
        <f t="shared" si="3"/>
        <v>0603</v>
      </c>
      <c r="N8" s="62" t="str">
        <f t="shared" ref="N8:N31" si="5">IF(LEFT(D8,3)="RES", "Resistor", IF(LEFT(D8,3)="CAP", "Capacitor", "Other"))</f>
        <v>Resistor</v>
      </c>
      <c r="O8" s="62" t="s">
        <v>25</v>
      </c>
      <c r="P8" s="73" t="s">
        <v>26</v>
      </c>
      <c r="Q8" s="62"/>
    </row>
    <row r="9" spans="1:20" x14ac:dyDescent="0.25">
      <c r="A9" s="58">
        <v>8</v>
      </c>
      <c r="B9" s="68" t="s">
        <v>60</v>
      </c>
      <c r="C9" s="68" t="s">
        <v>61</v>
      </c>
      <c r="D9" s="68" t="s">
        <v>62</v>
      </c>
      <c r="E9" s="74" t="s">
        <v>63</v>
      </c>
      <c r="F9" s="62">
        <v>25</v>
      </c>
      <c r="G9" s="75">
        <v>0.23</v>
      </c>
      <c r="H9" s="75">
        <f t="shared" si="0"/>
        <v>5.75</v>
      </c>
      <c r="I9" s="76">
        <f t="shared" si="4"/>
        <v>150592.5</v>
      </c>
      <c r="J9" s="62" t="str">
        <f t="shared" si="2"/>
        <v>1K</v>
      </c>
      <c r="K9" s="62" t="s">
        <v>50</v>
      </c>
      <c r="L9" s="62" t="str">
        <f>_xlfn.TEXTAFTER(_xlfn.TEXTBEFORE(D9, "%"), " ", -1) &amp; "%"</f>
        <v>0.1%</v>
      </c>
      <c r="M9" s="72" t="str">
        <f t="shared" si="3"/>
        <v>0603</v>
      </c>
      <c r="N9" s="62" t="str">
        <f t="shared" si="5"/>
        <v>Resistor</v>
      </c>
      <c r="O9" s="62" t="s">
        <v>25</v>
      </c>
      <c r="P9" s="73" t="s">
        <v>26</v>
      </c>
      <c r="Q9" s="62"/>
    </row>
    <row r="10" spans="1:20" x14ac:dyDescent="0.25">
      <c r="A10" s="58">
        <v>9</v>
      </c>
      <c r="B10" s="68" t="s">
        <v>64</v>
      </c>
      <c r="C10" s="68" t="s">
        <v>65</v>
      </c>
      <c r="D10" s="68" t="s">
        <v>66</v>
      </c>
      <c r="E10" s="74" t="s">
        <v>67</v>
      </c>
      <c r="F10" s="62">
        <v>25</v>
      </c>
      <c r="G10" s="75">
        <v>0.1</v>
      </c>
      <c r="H10" s="75">
        <f t="shared" si="0"/>
        <v>2.5</v>
      </c>
      <c r="I10" s="76">
        <f t="shared" si="4"/>
        <v>65475</v>
      </c>
      <c r="J10" s="62" t="str">
        <f t="shared" si="2"/>
        <v>22</v>
      </c>
      <c r="K10" s="62" t="s">
        <v>50</v>
      </c>
      <c r="L10" s="62" t="str">
        <f>_xlfn.TEXTAFTER(_xlfn.TEXTBEFORE(D10, "%"), " ", -1) &amp; "%"</f>
        <v>1%</v>
      </c>
      <c r="M10" s="72" t="str">
        <f t="shared" si="3"/>
        <v>0603</v>
      </c>
      <c r="N10" s="62" t="str">
        <f t="shared" si="5"/>
        <v>Resistor</v>
      </c>
      <c r="O10" s="62" t="s">
        <v>25</v>
      </c>
      <c r="P10" s="73" t="s">
        <v>26</v>
      </c>
      <c r="Q10" s="62"/>
    </row>
    <row r="11" spans="1:20" x14ac:dyDescent="0.25">
      <c r="A11" s="58">
        <v>10</v>
      </c>
      <c r="B11" s="68" t="s">
        <v>68</v>
      </c>
      <c r="C11" s="68" t="s">
        <v>68</v>
      </c>
      <c r="D11" s="68" t="s">
        <v>69</v>
      </c>
      <c r="E11" s="74" t="s">
        <v>70</v>
      </c>
      <c r="F11" s="62">
        <v>25</v>
      </c>
      <c r="G11" s="75">
        <v>0.1</v>
      </c>
      <c r="H11" s="75">
        <f t="shared" si="0"/>
        <v>2.5</v>
      </c>
      <c r="I11" s="76">
        <f t="shared" si="4"/>
        <v>65475</v>
      </c>
      <c r="J11" s="62" t="str">
        <f t="shared" si="2"/>
        <v>0</v>
      </c>
      <c r="K11" s="62" t="s">
        <v>50</v>
      </c>
      <c r="L11" s="62" t="s">
        <v>22</v>
      </c>
      <c r="M11" s="72" t="str">
        <f t="shared" si="3"/>
        <v>0603</v>
      </c>
      <c r="N11" s="62" t="str">
        <f t="shared" si="5"/>
        <v>Resistor</v>
      </c>
      <c r="O11" s="62" t="s">
        <v>25</v>
      </c>
      <c r="P11" s="73" t="s">
        <v>26</v>
      </c>
      <c r="Q11" s="62"/>
    </row>
    <row r="12" spans="1:20" x14ac:dyDescent="0.25">
      <c r="A12" s="58">
        <v>11</v>
      </c>
      <c r="B12" s="68" t="s">
        <v>71</v>
      </c>
      <c r="C12" s="68" t="s">
        <v>72</v>
      </c>
      <c r="D12" s="68" t="s">
        <v>73</v>
      </c>
      <c r="E12" s="74" t="s">
        <v>74</v>
      </c>
      <c r="F12" s="62">
        <v>25</v>
      </c>
      <c r="G12" s="75">
        <v>0.23</v>
      </c>
      <c r="H12" s="75">
        <f t="shared" si="0"/>
        <v>5.75</v>
      </c>
      <c r="I12" s="76">
        <f t="shared" si="4"/>
        <v>150592.5</v>
      </c>
      <c r="J12" s="62" t="str">
        <f t="shared" si="2"/>
        <v>499</v>
      </c>
      <c r="K12" s="62" t="s">
        <v>50</v>
      </c>
      <c r="L12" s="62" t="str">
        <f t="shared" ref="L12:L18" si="6">_xlfn.TEXTAFTER(_xlfn.TEXTBEFORE(D12, "%"), " ", -1) &amp; "%"</f>
        <v>0.1%</v>
      </c>
      <c r="M12" s="72" t="str">
        <f t="shared" si="3"/>
        <v>0603</v>
      </c>
      <c r="N12" s="62" t="str">
        <f t="shared" si="5"/>
        <v>Resistor</v>
      </c>
      <c r="O12" s="62" t="s">
        <v>25</v>
      </c>
      <c r="P12" s="73" t="s">
        <v>26</v>
      </c>
      <c r="Q12" s="62"/>
    </row>
    <row r="13" spans="1:20" x14ac:dyDescent="0.25">
      <c r="A13" s="58">
        <v>12</v>
      </c>
      <c r="B13" s="68" t="s">
        <v>75</v>
      </c>
      <c r="C13" s="68" t="s">
        <v>76</v>
      </c>
      <c r="D13" s="68" t="s">
        <v>77</v>
      </c>
      <c r="E13" s="74" t="s">
        <v>78</v>
      </c>
      <c r="F13" s="62">
        <v>25</v>
      </c>
      <c r="G13" s="75">
        <v>0.23</v>
      </c>
      <c r="H13" s="75">
        <f t="shared" si="0"/>
        <v>5.75</v>
      </c>
      <c r="I13" s="76">
        <f t="shared" si="4"/>
        <v>150592.5</v>
      </c>
      <c r="J13" s="62" t="str">
        <f t="shared" si="2"/>
        <v>1.78K</v>
      </c>
      <c r="K13" s="62" t="s">
        <v>50</v>
      </c>
      <c r="L13" s="62" t="str">
        <f t="shared" si="6"/>
        <v>0.1%</v>
      </c>
      <c r="M13" s="72" t="str">
        <f t="shared" si="3"/>
        <v>0603</v>
      </c>
      <c r="N13" s="62" t="str">
        <f t="shared" si="5"/>
        <v>Resistor</v>
      </c>
      <c r="O13" s="62" t="s">
        <v>25</v>
      </c>
      <c r="P13" s="73" t="s">
        <v>26</v>
      </c>
      <c r="Q13" s="62"/>
    </row>
    <row r="14" spans="1:20" x14ac:dyDescent="0.25">
      <c r="A14" s="58">
        <v>13</v>
      </c>
      <c r="B14" s="68" t="s">
        <v>79</v>
      </c>
      <c r="C14" s="68" t="s">
        <v>80</v>
      </c>
      <c r="D14" s="68" t="s">
        <v>81</v>
      </c>
      <c r="E14" s="77" t="s">
        <v>82</v>
      </c>
      <c r="F14" s="62">
        <v>25</v>
      </c>
      <c r="G14" s="78">
        <v>0.1</v>
      </c>
      <c r="H14" s="75">
        <f t="shared" si="0"/>
        <v>2.5</v>
      </c>
      <c r="I14" s="79">
        <f t="shared" si="4"/>
        <v>65475</v>
      </c>
      <c r="J14" s="62" t="str">
        <f t="shared" si="2"/>
        <v>510</v>
      </c>
      <c r="K14" s="62" t="s">
        <v>50</v>
      </c>
      <c r="L14" s="62" t="str">
        <f t="shared" si="6"/>
        <v>1%</v>
      </c>
      <c r="M14" s="72" t="str">
        <f t="shared" si="3"/>
        <v>0603</v>
      </c>
      <c r="N14" s="62" t="str">
        <f t="shared" si="5"/>
        <v>Resistor</v>
      </c>
      <c r="O14" s="62" t="s">
        <v>25</v>
      </c>
      <c r="P14" s="73" t="s">
        <v>26</v>
      </c>
      <c r="Q14" s="62"/>
    </row>
    <row r="15" spans="1:20" x14ac:dyDescent="0.25">
      <c r="A15" s="58">
        <v>14</v>
      </c>
      <c r="B15" s="68" t="s">
        <v>83</v>
      </c>
      <c r="C15" s="68" t="s">
        <v>84</v>
      </c>
      <c r="D15" s="68" t="s">
        <v>85</v>
      </c>
      <c r="E15" s="77" t="s">
        <v>86</v>
      </c>
      <c r="F15" s="62">
        <v>25</v>
      </c>
      <c r="G15" s="78">
        <v>2E-3</v>
      </c>
      <c r="H15" s="75">
        <f t="shared" si="0"/>
        <v>0.05</v>
      </c>
      <c r="I15" s="79">
        <f t="shared" si="4"/>
        <v>1309.5</v>
      </c>
      <c r="J15" s="62" t="str">
        <f t="shared" si="2"/>
        <v>2.67K</v>
      </c>
      <c r="K15" s="62" t="s">
        <v>50</v>
      </c>
      <c r="L15" s="62" t="str">
        <f t="shared" si="6"/>
        <v>1%</v>
      </c>
      <c r="M15" s="72" t="str">
        <f t="shared" si="3"/>
        <v>0603</v>
      </c>
      <c r="N15" s="62" t="str">
        <f t="shared" si="5"/>
        <v>Resistor</v>
      </c>
      <c r="O15" s="62" t="s">
        <v>25</v>
      </c>
      <c r="P15" s="73" t="s">
        <v>26</v>
      </c>
      <c r="Q15" s="62"/>
    </row>
    <row r="16" spans="1:20" x14ac:dyDescent="0.25">
      <c r="A16" s="58">
        <v>15</v>
      </c>
      <c r="B16" s="68" t="s">
        <v>87</v>
      </c>
      <c r="C16" s="68" t="s">
        <v>88</v>
      </c>
      <c r="D16" s="68" t="s">
        <v>89</v>
      </c>
      <c r="E16" s="77" t="s">
        <v>90</v>
      </c>
      <c r="F16" s="62">
        <v>25</v>
      </c>
      <c r="G16" s="78">
        <v>0.1</v>
      </c>
      <c r="H16" s="75">
        <f t="shared" si="0"/>
        <v>2.5</v>
      </c>
      <c r="I16" s="79">
        <f t="shared" si="4"/>
        <v>65475</v>
      </c>
      <c r="J16" s="62" t="str">
        <f t="shared" si="2"/>
        <v>51</v>
      </c>
      <c r="K16" s="62" t="s">
        <v>50</v>
      </c>
      <c r="L16" s="62" t="str">
        <f t="shared" si="6"/>
        <v>1%</v>
      </c>
      <c r="M16" s="72" t="str">
        <f t="shared" si="3"/>
        <v>0603</v>
      </c>
      <c r="N16" s="62" t="str">
        <f t="shared" si="5"/>
        <v>Resistor</v>
      </c>
      <c r="O16" s="62" t="s">
        <v>25</v>
      </c>
      <c r="P16" s="73" t="s">
        <v>26</v>
      </c>
      <c r="Q16" s="62"/>
    </row>
    <row r="17" spans="1:17" x14ac:dyDescent="0.25">
      <c r="A17" s="58">
        <v>16</v>
      </c>
      <c r="B17" s="68" t="s">
        <v>91</v>
      </c>
      <c r="C17" s="68" t="s">
        <v>92</v>
      </c>
      <c r="D17" s="80" t="s">
        <v>93</v>
      </c>
      <c r="E17" s="77" t="s">
        <v>94</v>
      </c>
      <c r="F17" s="62">
        <v>25</v>
      </c>
      <c r="G17" s="78">
        <v>0.1</v>
      </c>
      <c r="H17" s="75">
        <f t="shared" si="0"/>
        <v>2.5</v>
      </c>
      <c r="I17" s="79">
        <f t="shared" si="4"/>
        <v>65475</v>
      </c>
      <c r="J17" s="62" t="str">
        <f t="shared" si="2"/>
        <v>10K</v>
      </c>
      <c r="K17" s="62" t="s">
        <v>50</v>
      </c>
      <c r="L17" s="62" t="str">
        <f t="shared" si="6"/>
        <v>1%</v>
      </c>
      <c r="M17" s="72" t="str">
        <f t="shared" si="3"/>
        <v>0603</v>
      </c>
      <c r="N17" s="62" t="str">
        <f t="shared" si="5"/>
        <v>Resistor</v>
      </c>
      <c r="O17" s="62" t="s">
        <v>25</v>
      </c>
      <c r="P17" s="73" t="s">
        <v>26</v>
      </c>
      <c r="Q17" s="62"/>
    </row>
    <row r="18" spans="1:17" x14ac:dyDescent="0.25">
      <c r="A18" s="58">
        <v>17</v>
      </c>
      <c r="B18" s="68" t="s">
        <v>95</v>
      </c>
      <c r="C18" s="68" t="s">
        <v>96</v>
      </c>
      <c r="D18" s="80" t="s">
        <v>97</v>
      </c>
      <c r="E18" s="77" t="s">
        <v>98</v>
      </c>
      <c r="F18" s="62">
        <v>25</v>
      </c>
      <c r="G18" s="78">
        <v>0.31</v>
      </c>
      <c r="H18" s="75">
        <f t="shared" si="0"/>
        <v>7.75</v>
      </c>
      <c r="I18" s="79">
        <f t="shared" si="4"/>
        <v>202972.5</v>
      </c>
      <c r="J18" s="62" t="str">
        <f t="shared" si="2"/>
        <v>10</v>
      </c>
      <c r="K18" s="62" t="s">
        <v>50</v>
      </c>
      <c r="L18" s="62" t="str">
        <f t="shared" si="6"/>
        <v>0.1%</v>
      </c>
      <c r="M18" s="72" t="str">
        <f t="shared" si="3"/>
        <v>0603</v>
      </c>
      <c r="N18" s="62" t="str">
        <f t="shared" si="5"/>
        <v>Resistor</v>
      </c>
      <c r="O18" s="62" t="s">
        <v>25</v>
      </c>
      <c r="P18" s="73" t="s">
        <v>26</v>
      </c>
      <c r="Q18" s="62"/>
    </row>
    <row r="19" spans="1:17" hidden="1" x14ac:dyDescent="0.25">
      <c r="A19" s="58">
        <v>18</v>
      </c>
      <c r="B19" s="68" t="s">
        <v>99</v>
      </c>
      <c r="C19" s="68" t="s">
        <v>100</v>
      </c>
      <c r="D19" s="68" t="s">
        <v>101</v>
      </c>
      <c r="E19" s="77" t="s">
        <v>102</v>
      </c>
      <c r="F19" s="62">
        <v>25</v>
      </c>
      <c r="G19" s="78">
        <v>0.12</v>
      </c>
      <c r="H19" s="75">
        <f t="shared" si="0"/>
        <v>3</v>
      </c>
      <c r="I19" s="79">
        <f t="shared" si="4"/>
        <v>78570</v>
      </c>
      <c r="J19" s="62" t="str">
        <f t="shared" ref="J19:J30" si="7">_xlfn.TEXTBEFORE(_xlfn.TEXTAFTER(D19, "CER "), "F")</f>
        <v>20P</v>
      </c>
      <c r="K19" s="62" t="s">
        <v>103</v>
      </c>
      <c r="L19" s="62"/>
      <c r="M19" s="72" t="str">
        <f t="shared" si="3"/>
        <v>0603</v>
      </c>
      <c r="N19" s="62" t="str">
        <f t="shared" si="5"/>
        <v>Capacitor</v>
      </c>
      <c r="O19" s="62" t="s">
        <v>25</v>
      </c>
      <c r="P19" s="73" t="s">
        <v>26</v>
      </c>
      <c r="Q19" s="62"/>
    </row>
    <row r="20" spans="1:17" hidden="1" x14ac:dyDescent="0.25">
      <c r="A20" s="58">
        <v>19</v>
      </c>
      <c r="B20" s="68" t="s">
        <v>104</v>
      </c>
      <c r="C20" s="68" t="s">
        <v>105</v>
      </c>
      <c r="D20" s="68" t="s">
        <v>106</v>
      </c>
      <c r="E20" s="77" t="s">
        <v>107</v>
      </c>
      <c r="F20" s="62">
        <v>25</v>
      </c>
      <c r="G20" s="78">
        <v>0.08</v>
      </c>
      <c r="H20" s="75">
        <f t="shared" si="0"/>
        <v>2</v>
      </c>
      <c r="I20" s="79">
        <f t="shared" si="4"/>
        <v>52380</v>
      </c>
      <c r="J20" s="62" t="str">
        <f t="shared" si="7"/>
        <v>0.1U</v>
      </c>
      <c r="K20" s="62" t="s">
        <v>103</v>
      </c>
      <c r="L20" s="62"/>
      <c r="M20" s="72" t="str">
        <f t="shared" si="3"/>
        <v>0603</v>
      </c>
      <c r="N20" s="62" t="str">
        <f t="shared" si="5"/>
        <v>Capacitor</v>
      </c>
      <c r="O20" s="62" t="s">
        <v>25</v>
      </c>
      <c r="P20" s="73" t="s">
        <v>26</v>
      </c>
      <c r="Q20" s="62"/>
    </row>
    <row r="21" spans="1:17" hidden="1" x14ac:dyDescent="0.25">
      <c r="A21" s="58">
        <v>20</v>
      </c>
      <c r="B21" s="68" t="s">
        <v>108</v>
      </c>
      <c r="C21" s="68" t="s">
        <v>109</v>
      </c>
      <c r="D21" s="68" t="s">
        <v>110</v>
      </c>
      <c r="E21" s="77" t="s">
        <v>111</v>
      </c>
      <c r="F21" s="62">
        <v>25</v>
      </c>
      <c r="G21" s="78">
        <v>0.41</v>
      </c>
      <c r="H21" s="75">
        <f t="shared" si="0"/>
        <v>10.25</v>
      </c>
      <c r="I21" s="79">
        <f t="shared" si="4"/>
        <v>268447.5</v>
      </c>
      <c r="J21" s="62" t="str">
        <f t="shared" si="7"/>
        <v>1U</v>
      </c>
      <c r="K21" s="62" t="s">
        <v>103</v>
      </c>
      <c r="L21" s="62"/>
      <c r="M21" s="72" t="str">
        <f t="shared" si="3"/>
        <v>0603</v>
      </c>
      <c r="N21" s="62" t="str">
        <f t="shared" si="5"/>
        <v>Capacitor</v>
      </c>
      <c r="O21" s="62" t="s">
        <v>25</v>
      </c>
      <c r="P21" s="73" t="s">
        <v>26</v>
      </c>
      <c r="Q21" s="62"/>
    </row>
    <row r="22" spans="1:17" hidden="1" x14ac:dyDescent="0.25">
      <c r="A22" s="58">
        <v>21</v>
      </c>
      <c r="B22" s="68" t="s">
        <v>112</v>
      </c>
      <c r="C22" s="68" t="s">
        <v>113</v>
      </c>
      <c r="D22" s="68" t="s">
        <v>114</v>
      </c>
      <c r="E22" s="74" t="s">
        <v>115</v>
      </c>
      <c r="F22" s="62">
        <v>25</v>
      </c>
      <c r="G22" s="75">
        <v>1.4800000000000001E-2</v>
      </c>
      <c r="H22" s="75">
        <f t="shared" si="0"/>
        <v>0.37</v>
      </c>
      <c r="I22" s="76">
        <f t="shared" si="4"/>
        <v>9690.2999999999993</v>
      </c>
      <c r="J22" s="62" t="str">
        <f t="shared" si="7"/>
        <v>1P</v>
      </c>
      <c r="K22" s="62" t="s">
        <v>103</v>
      </c>
      <c r="L22" s="62"/>
      <c r="M22" s="81" t="str">
        <f t="shared" si="3"/>
        <v>0402</v>
      </c>
      <c r="N22" s="62" t="str">
        <f t="shared" si="5"/>
        <v>Capacitor</v>
      </c>
      <c r="O22" s="62" t="s">
        <v>25</v>
      </c>
      <c r="P22" s="73" t="s">
        <v>26</v>
      </c>
      <c r="Q22" s="62"/>
    </row>
    <row r="23" spans="1:17" hidden="1" x14ac:dyDescent="0.25">
      <c r="A23" s="58">
        <v>22</v>
      </c>
      <c r="B23" s="68" t="s">
        <v>116</v>
      </c>
      <c r="C23" s="68" t="s">
        <v>117</v>
      </c>
      <c r="D23" s="68" t="s">
        <v>118</v>
      </c>
      <c r="E23" s="74" t="s">
        <v>119</v>
      </c>
      <c r="F23" s="62">
        <v>25</v>
      </c>
      <c r="G23" s="75">
        <v>2.5000000000000001E-2</v>
      </c>
      <c r="H23" s="75">
        <f t="shared" si="0"/>
        <v>0.625</v>
      </c>
      <c r="I23" s="76">
        <f t="shared" si="4"/>
        <v>16368.75</v>
      </c>
      <c r="J23" s="62" t="str">
        <f t="shared" si="7"/>
        <v>2.2U</v>
      </c>
      <c r="K23" s="62" t="s">
        <v>103</v>
      </c>
      <c r="L23" s="62"/>
      <c r="M23" s="81" t="str">
        <f t="shared" si="3"/>
        <v>0805</v>
      </c>
      <c r="N23" s="62" t="str">
        <f t="shared" si="5"/>
        <v>Capacitor</v>
      </c>
      <c r="O23" s="62" t="s">
        <v>25</v>
      </c>
      <c r="P23" s="73" t="s">
        <v>26</v>
      </c>
      <c r="Q23" s="62"/>
    </row>
    <row r="24" spans="1:17" hidden="1" x14ac:dyDescent="0.25">
      <c r="A24" s="58">
        <v>23</v>
      </c>
      <c r="B24" s="68" t="s">
        <v>120</v>
      </c>
      <c r="C24" s="68" t="s">
        <v>121</v>
      </c>
      <c r="D24" s="68" t="s">
        <v>122</v>
      </c>
      <c r="E24" s="74" t="s">
        <v>123</v>
      </c>
      <c r="F24" s="62">
        <v>25</v>
      </c>
      <c r="G24" s="75">
        <v>1.822E-2</v>
      </c>
      <c r="H24" s="75">
        <f t="shared" si="0"/>
        <v>0.45550000000000002</v>
      </c>
      <c r="I24" s="76">
        <f t="shared" si="4"/>
        <v>11929.545</v>
      </c>
      <c r="J24" s="62" t="str">
        <f t="shared" si="7"/>
        <v>180P</v>
      </c>
      <c r="K24" s="62" t="s">
        <v>103</v>
      </c>
      <c r="L24" s="62"/>
      <c r="M24" s="72" t="str">
        <f t="shared" si="3"/>
        <v>0603</v>
      </c>
      <c r="N24" s="62" t="str">
        <f t="shared" si="5"/>
        <v>Capacitor</v>
      </c>
      <c r="O24" s="62" t="s">
        <v>25</v>
      </c>
      <c r="P24" s="73" t="s">
        <v>26</v>
      </c>
      <c r="Q24" s="62"/>
    </row>
    <row r="25" spans="1:17" hidden="1" x14ac:dyDescent="0.25">
      <c r="A25" s="58">
        <v>24</v>
      </c>
      <c r="B25" s="68" t="s">
        <v>124</v>
      </c>
      <c r="C25" s="68" t="s">
        <v>125</v>
      </c>
      <c r="D25" s="68" t="s">
        <v>126</v>
      </c>
      <c r="E25" s="74" t="s">
        <v>127</v>
      </c>
      <c r="F25" s="62">
        <v>25</v>
      </c>
      <c r="G25" s="75">
        <v>0.13</v>
      </c>
      <c r="H25" s="75">
        <f t="shared" si="0"/>
        <v>3.25</v>
      </c>
      <c r="I25" s="76">
        <f t="shared" si="4"/>
        <v>85117.5</v>
      </c>
      <c r="J25" s="62" t="str">
        <f t="shared" si="7"/>
        <v>300P</v>
      </c>
      <c r="K25" s="62" t="s">
        <v>103</v>
      </c>
      <c r="L25" s="62"/>
      <c r="M25" s="72" t="str">
        <f t="shared" si="3"/>
        <v>0603</v>
      </c>
      <c r="N25" s="62" t="str">
        <f t="shared" si="5"/>
        <v>Capacitor</v>
      </c>
      <c r="O25" s="62" t="s">
        <v>25</v>
      </c>
      <c r="P25" s="73" t="s">
        <v>26</v>
      </c>
      <c r="Q25" s="62"/>
    </row>
    <row r="26" spans="1:17" hidden="1" x14ac:dyDescent="0.25">
      <c r="A26" s="58">
        <v>25</v>
      </c>
      <c r="B26" s="68" t="s">
        <v>128</v>
      </c>
      <c r="C26" s="68" t="s">
        <v>129</v>
      </c>
      <c r="D26" s="68" t="s">
        <v>130</v>
      </c>
      <c r="E26" s="74" t="s">
        <v>131</v>
      </c>
      <c r="F26" s="62">
        <v>25</v>
      </c>
      <c r="G26" s="75">
        <v>0.11</v>
      </c>
      <c r="H26" s="75">
        <f t="shared" si="0"/>
        <v>2.75</v>
      </c>
      <c r="I26" s="76">
        <f t="shared" si="4"/>
        <v>72022.5</v>
      </c>
      <c r="J26" s="62" t="str">
        <f t="shared" si="7"/>
        <v>330P</v>
      </c>
      <c r="K26" s="62" t="s">
        <v>103</v>
      </c>
      <c r="L26" s="62"/>
      <c r="M26" s="72" t="str">
        <f t="shared" si="3"/>
        <v>0603</v>
      </c>
      <c r="N26" s="62" t="str">
        <f t="shared" si="5"/>
        <v>Capacitor</v>
      </c>
      <c r="O26" s="62" t="s">
        <v>25</v>
      </c>
      <c r="P26" s="73" t="s">
        <v>26</v>
      </c>
      <c r="Q26" s="196"/>
    </row>
    <row r="27" spans="1:17" hidden="1" x14ac:dyDescent="0.25">
      <c r="A27" s="58">
        <v>26</v>
      </c>
      <c r="B27" s="68" t="s">
        <v>132</v>
      </c>
      <c r="C27" s="68" t="s">
        <v>133</v>
      </c>
      <c r="D27" s="68" t="s">
        <v>134</v>
      </c>
      <c r="E27" s="74" t="s">
        <v>135</v>
      </c>
      <c r="F27" s="62">
        <v>25</v>
      </c>
      <c r="G27" s="75">
        <v>2.5010000000000001E-2</v>
      </c>
      <c r="H27" s="75">
        <f t="shared" si="0"/>
        <v>0.62524999999999997</v>
      </c>
      <c r="I27" s="76">
        <f t="shared" si="4"/>
        <v>16375.297499999999</v>
      </c>
      <c r="J27" s="62" t="str">
        <f t="shared" si="7"/>
        <v>270P</v>
      </c>
      <c r="K27" s="62" t="s">
        <v>103</v>
      </c>
      <c r="L27" s="62"/>
      <c r="M27" s="72" t="str">
        <f t="shared" si="3"/>
        <v>0603</v>
      </c>
      <c r="N27" s="62" t="str">
        <f t="shared" si="5"/>
        <v>Capacitor</v>
      </c>
      <c r="O27" s="62" t="s">
        <v>25</v>
      </c>
      <c r="P27" s="73" t="s">
        <v>26</v>
      </c>
      <c r="Q27" s="196"/>
    </row>
    <row r="28" spans="1:17" hidden="1" x14ac:dyDescent="0.25">
      <c r="A28" s="58">
        <v>27</v>
      </c>
      <c r="B28" s="68" t="s">
        <v>136</v>
      </c>
      <c r="C28" s="68" t="s">
        <v>137</v>
      </c>
      <c r="D28" s="68" t="s">
        <v>138</v>
      </c>
      <c r="E28" s="74" t="s">
        <v>139</v>
      </c>
      <c r="F28" s="62">
        <v>25</v>
      </c>
      <c r="G28" s="75">
        <v>0.12</v>
      </c>
      <c r="H28" s="75">
        <f t="shared" si="0"/>
        <v>3</v>
      </c>
      <c r="I28" s="76">
        <f t="shared" si="4"/>
        <v>78570</v>
      </c>
      <c r="J28" s="62" t="str">
        <f t="shared" si="7"/>
        <v>47P</v>
      </c>
      <c r="K28" s="62" t="s">
        <v>103</v>
      </c>
      <c r="L28" s="62"/>
      <c r="M28" s="72" t="str">
        <f t="shared" si="3"/>
        <v>0603</v>
      </c>
      <c r="N28" s="62" t="str">
        <f t="shared" si="5"/>
        <v>Capacitor</v>
      </c>
      <c r="O28" s="62" t="s">
        <v>25</v>
      </c>
      <c r="P28" s="73" t="s">
        <v>26</v>
      </c>
      <c r="Q28" s="62"/>
    </row>
    <row r="29" spans="1:17" hidden="1" x14ac:dyDescent="0.25">
      <c r="A29" s="58">
        <v>28</v>
      </c>
      <c r="B29" s="68" t="s">
        <v>140</v>
      </c>
      <c r="C29" s="68" t="s">
        <v>141</v>
      </c>
      <c r="D29" s="68" t="s">
        <v>142</v>
      </c>
      <c r="E29" s="74" t="s">
        <v>143</v>
      </c>
      <c r="F29" s="62">
        <v>25</v>
      </c>
      <c r="G29" s="75">
        <v>0.14000000000000001</v>
      </c>
      <c r="H29" s="75">
        <f t="shared" si="0"/>
        <v>3.5000000000000004</v>
      </c>
      <c r="I29" s="76">
        <f t="shared" si="4"/>
        <v>91665.000000000015</v>
      </c>
      <c r="J29" s="62" t="str">
        <f t="shared" si="7"/>
        <v>0.1U</v>
      </c>
      <c r="K29" s="62" t="s">
        <v>103</v>
      </c>
      <c r="L29" s="62"/>
      <c r="M29" s="72" t="str">
        <f t="shared" si="3"/>
        <v>0603</v>
      </c>
      <c r="N29" s="62" t="str">
        <f t="shared" si="5"/>
        <v>Capacitor</v>
      </c>
      <c r="O29" s="62" t="s">
        <v>25</v>
      </c>
      <c r="P29" s="73" t="s">
        <v>26</v>
      </c>
      <c r="Q29" s="62"/>
    </row>
    <row r="30" spans="1:17" hidden="1" x14ac:dyDescent="0.25">
      <c r="A30" s="58">
        <v>29</v>
      </c>
      <c r="B30" s="68" t="s">
        <v>144</v>
      </c>
      <c r="C30" s="68" t="s">
        <v>145</v>
      </c>
      <c r="D30" s="68" t="s">
        <v>146</v>
      </c>
      <c r="E30" s="74" t="s">
        <v>147</v>
      </c>
      <c r="F30" s="62">
        <v>25</v>
      </c>
      <c r="G30" s="75">
        <v>0.1</v>
      </c>
      <c r="H30" s="75">
        <f t="shared" si="0"/>
        <v>2.5</v>
      </c>
      <c r="I30" s="76">
        <f t="shared" si="4"/>
        <v>65475</v>
      </c>
      <c r="J30" s="62" t="str">
        <f t="shared" si="7"/>
        <v>10000P</v>
      </c>
      <c r="K30" s="62" t="s">
        <v>103</v>
      </c>
      <c r="L30" s="62"/>
      <c r="M30" s="72" t="str">
        <f t="shared" si="3"/>
        <v>0603</v>
      </c>
      <c r="N30" s="62" t="str">
        <f t="shared" si="5"/>
        <v>Capacitor</v>
      </c>
      <c r="O30" s="62" t="s">
        <v>25</v>
      </c>
      <c r="P30" s="73" t="s">
        <v>26</v>
      </c>
      <c r="Q30" s="62"/>
    </row>
    <row r="31" spans="1:17" x14ac:dyDescent="0.25">
      <c r="A31" s="58">
        <v>30</v>
      </c>
      <c r="B31" s="82" t="s">
        <v>148</v>
      </c>
      <c r="C31" s="82" t="s">
        <v>149</v>
      </c>
      <c r="D31" s="82" t="s">
        <v>150</v>
      </c>
      <c r="E31" s="83" t="s">
        <v>151</v>
      </c>
      <c r="F31" s="84">
        <v>25</v>
      </c>
      <c r="G31" s="85">
        <v>0.1</v>
      </c>
      <c r="H31" s="78">
        <f t="shared" si="0"/>
        <v>2.5</v>
      </c>
      <c r="I31" s="86">
        <f t="shared" si="4"/>
        <v>65475</v>
      </c>
      <c r="J31" s="62" t="str">
        <f>TRIM(LEFT(SUBSTITUTE(TRIM(SUBSTITUTE(SUBSTITUTE(D31,"RES",""),"SMD",""))," ",REPT(" ",100)),100))</f>
        <v>49.9</v>
      </c>
      <c r="K31" s="84" t="s">
        <v>50</v>
      </c>
      <c r="L31" s="62" t="str">
        <f>_xlfn.TEXTAFTER(_xlfn.TEXTBEFORE(D31, "%"), " ", -1) &amp; "%"</f>
        <v>1%</v>
      </c>
      <c r="M31" s="72" t="str">
        <f t="shared" si="3"/>
        <v>0603</v>
      </c>
      <c r="N31" s="62" t="str">
        <f t="shared" si="5"/>
        <v>Resistor</v>
      </c>
      <c r="O31" s="62" t="s">
        <v>25</v>
      </c>
      <c r="P31" s="73" t="s">
        <v>26</v>
      </c>
      <c r="Q31" s="62"/>
    </row>
    <row r="32" spans="1:17" hidden="1" x14ac:dyDescent="0.25">
      <c r="A32" s="58">
        <v>31</v>
      </c>
      <c r="B32" s="82" t="s">
        <v>152</v>
      </c>
      <c r="C32" s="82" t="s">
        <v>153</v>
      </c>
      <c r="D32" s="82" t="s">
        <v>154</v>
      </c>
      <c r="E32" s="87" t="s">
        <v>155</v>
      </c>
      <c r="F32" s="88">
        <v>4</v>
      </c>
      <c r="G32" s="89">
        <v>4.59</v>
      </c>
      <c r="H32" s="90">
        <f t="shared" si="0"/>
        <v>18.36</v>
      </c>
      <c r="I32" s="91">
        <f t="shared" si="4"/>
        <v>480848.39999999997</v>
      </c>
      <c r="J32" s="84" t="s">
        <v>21</v>
      </c>
      <c r="K32" s="62" t="s">
        <v>22</v>
      </c>
      <c r="L32" s="92" t="s">
        <v>21</v>
      </c>
      <c r="M32" s="84" t="s">
        <v>531</v>
      </c>
      <c r="N32" s="84" t="s">
        <v>24</v>
      </c>
      <c r="O32" s="62" t="s">
        <v>25</v>
      </c>
      <c r="P32" s="73" t="s">
        <v>26</v>
      </c>
      <c r="Q32" s="58"/>
    </row>
    <row r="33" spans="1:17" hidden="1" x14ac:dyDescent="0.25">
      <c r="A33" s="58">
        <v>32</v>
      </c>
      <c r="B33" s="82" t="s">
        <v>156</v>
      </c>
      <c r="C33" s="82" t="s">
        <v>157</v>
      </c>
      <c r="D33" s="82" t="s">
        <v>158</v>
      </c>
      <c r="E33" s="87" t="s">
        <v>159</v>
      </c>
      <c r="F33" s="88">
        <v>25</v>
      </c>
      <c r="G33" s="89">
        <v>0.11</v>
      </c>
      <c r="H33" s="90">
        <f t="shared" si="0"/>
        <v>2.75</v>
      </c>
      <c r="I33" s="91">
        <f t="shared" si="4"/>
        <v>72022.5</v>
      </c>
      <c r="J33" s="84" t="s">
        <v>160</v>
      </c>
      <c r="K33" s="84" t="s">
        <v>161</v>
      </c>
      <c r="L33" s="92"/>
      <c r="M33" s="64" t="s">
        <v>162</v>
      </c>
      <c r="N33" s="84" t="s">
        <v>163</v>
      </c>
      <c r="O33" s="62" t="s">
        <v>25</v>
      </c>
      <c r="P33" s="73" t="s">
        <v>26</v>
      </c>
      <c r="Q33" s="58"/>
    </row>
    <row r="34" spans="1:17" hidden="1" x14ac:dyDescent="0.25">
      <c r="A34" s="58">
        <v>33</v>
      </c>
      <c r="B34" s="82" t="s">
        <v>164</v>
      </c>
      <c r="C34" s="82" t="s">
        <v>165</v>
      </c>
      <c r="D34" s="82" t="s">
        <v>166</v>
      </c>
      <c r="E34" s="87" t="s">
        <v>167</v>
      </c>
      <c r="F34" s="88">
        <v>25</v>
      </c>
      <c r="G34" s="89">
        <v>0.11</v>
      </c>
      <c r="H34" s="90">
        <f t="shared" ref="H34:H65" si="8">G34*F34</f>
        <v>2.75</v>
      </c>
      <c r="I34" s="91">
        <f t="shared" si="4"/>
        <v>72022.5</v>
      </c>
      <c r="J34" s="84" t="s">
        <v>168</v>
      </c>
      <c r="K34" s="84" t="s">
        <v>161</v>
      </c>
      <c r="L34" s="92"/>
      <c r="M34" s="64" t="s">
        <v>162</v>
      </c>
      <c r="N34" s="84" t="s">
        <v>163</v>
      </c>
      <c r="O34" s="62" t="s">
        <v>25</v>
      </c>
      <c r="P34" s="73" t="s">
        <v>26</v>
      </c>
      <c r="Q34" s="58"/>
    </row>
    <row r="35" spans="1:17" hidden="1" x14ac:dyDescent="0.25">
      <c r="A35" s="58">
        <v>34</v>
      </c>
      <c r="B35" s="82" t="s">
        <v>169</v>
      </c>
      <c r="C35" s="82" t="s">
        <v>170</v>
      </c>
      <c r="D35" s="82" t="s">
        <v>171</v>
      </c>
      <c r="E35" s="87" t="s">
        <v>172</v>
      </c>
      <c r="F35" s="88">
        <v>25</v>
      </c>
      <c r="G35" s="89">
        <v>0.11</v>
      </c>
      <c r="H35" s="90">
        <f t="shared" si="8"/>
        <v>2.75</v>
      </c>
      <c r="I35" s="91">
        <f t="shared" si="4"/>
        <v>72022.5</v>
      </c>
      <c r="J35" s="84" t="s">
        <v>173</v>
      </c>
      <c r="K35" s="84" t="s">
        <v>161</v>
      </c>
      <c r="L35" s="92"/>
      <c r="M35" s="64" t="s">
        <v>162</v>
      </c>
      <c r="N35" s="84" t="s">
        <v>163</v>
      </c>
      <c r="O35" s="62" t="s">
        <v>25</v>
      </c>
      <c r="P35" s="73" t="s">
        <v>26</v>
      </c>
      <c r="Q35" s="58"/>
    </row>
    <row r="36" spans="1:17" hidden="1" x14ac:dyDescent="0.25">
      <c r="A36" s="58">
        <v>35</v>
      </c>
      <c r="B36" s="82" t="s">
        <v>174</v>
      </c>
      <c r="C36" s="82" t="s">
        <v>175</v>
      </c>
      <c r="D36" s="82" t="s">
        <v>176</v>
      </c>
      <c r="E36" s="87" t="s">
        <v>177</v>
      </c>
      <c r="F36" s="88">
        <v>4</v>
      </c>
      <c r="G36" s="89">
        <v>3.85</v>
      </c>
      <c r="H36" s="90">
        <f t="shared" si="8"/>
        <v>15.4</v>
      </c>
      <c r="I36" s="91">
        <f t="shared" si="4"/>
        <v>403326</v>
      </c>
      <c r="J36" s="84" t="s">
        <v>178</v>
      </c>
      <c r="K36" s="84" t="s">
        <v>179</v>
      </c>
      <c r="L36" s="92"/>
      <c r="M36" s="84" t="s">
        <v>180</v>
      </c>
      <c r="N36" s="84" t="s">
        <v>181</v>
      </c>
      <c r="O36" s="62" t="s">
        <v>25</v>
      </c>
      <c r="P36" s="73" t="s">
        <v>26</v>
      </c>
      <c r="Q36" s="58"/>
    </row>
    <row r="37" spans="1:17" hidden="1" x14ac:dyDescent="0.25">
      <c r="A37" s="58">
        <v>36</v>
      </c>
      <c r="B37" s="82" t="s">
        <v>182</v>
      </c>
      <c r="C37" s="82" t="s">
        <v>183</v>
      </c>
      <c r="D37" s="82" t="s">
        <v>184</v>
      </c>
      <c r="E37" s="94" t="s">
        <v>185</v>
      </c>
      <c r="F37" s="88">
        <v>10</v>
      </c>
      <c r="G37" s="89">
        <v>0.25</v>
      </c>
      <c r="H37" s="90">
        <f t="shared" si="8"/>
        <v>2.5</v>
      </c>
      <c r="I37" s="91">
        <f t="shared" si="4"/>
        <v>65475</v>
      </c>
      <c r="J37" s="84" t="s">
        <v>21</v>
      </c>
      <c r="K37" s="62" t="s">
        <v>22</v>
      </c>
      <c r="L37" s="92" t="s">
        <v>21</v>
      </c>
      <c r="M37" s="84" t="s">
        <v>186</v>
      </c>
      <c r="N37" s="84" t="s">
        <v>187</v>
      </c>
      <c r="O37" s="62" t="s">
        <v>25</v>
      </c>
      <c r="P37" s="73" t="s">
        <v>26</v>
      </c>
      <c r="Q37" s="58"/>
    </row>
    <row r="38" spans="1:17" hidden="1" x14ac:dyDescent="0.25">
      <c r="A38" s="58">
        <v>37</v>
      </c>
      <c r="B38" s="82" t="s">
        <v>188</v>
      </c>
      <c r="C38" s="82" t="s">
        <v>189</v>
      </c>
      <c r="D38" s="82" t="s">
        <v>190</v>
      </c>
      <c r="E38" s="87" t="s">
        <v>191</v>
      </c>
      <c r="F38" s="88">
        <v>10</v>
      </c>
      <c r="G38" s="89">
        <v>0.42599999999999999</v>
      </c>
      <c r="H38" s="90">
        <f t="shared" si="8"/>
        <v>4.26</v>
      </c>
      <c r="I38" s="91">
        <f t="shared" si="4"/>
        <v>111569.4</v>
      </c>
      <c r="J38" s="84" t="s">
        <v>21</v>
      </c>
      <c r="K38" s="84" t="s">
        <v>22</v>
      </c>
      <c r="L38" s="92"/>
      <c r="M38" s="93" t="s">
        <v>192</v>
      </c>
      <c r="N38" s="84" t="s">
        <v>193</v>
      </c>
      <c r="O38" s="62" t="s">
        <v>25</v>
      </c>
      <c r="P38" s="73" t="s">
        <v>26</v>
      </c>
      <c r="Q38" s="58"/>
    </row>
    <row r="39" spans="1:17" hidden="1" x14ac:dyDescent="0.25">
      <c r="A39" s="58">
        <v>38</v>
      </c>
      <c r="B39" s="82" t="s">
        <v>194</v>
      </c>
      <c r="C39" s="82" t="s">
        <v>195</v>
      </c>
      <c r="D39" s="82" t="s">
        <v>196</v>
      </c>
      <c r="E39" s="87" t="s">
        <v>197</v>
      </c>
      <c r="F39" s="88">
        <v>10</v>
      </c>
      <c r="G39" s="89">
        <v>0.25</v>
      </c>
      <c r="H39" s="90">
        <f t="shared" si="8"/>
        <v>2.5</v>
      </c>
      <c r="I39" s="91">
        <f t="shared" si="4"/>
        <v>65475</v>
      </c>
      <c r="J39" s="84"/>
      <c r="K39" s="84"/>
      <c r="L39" s="92"/>
      <c r="M39" s="84" t="s">
        <v>198</v>
      </c>
      <c r="N39" s="72" t="s">
        <v>199</v>
      </c>
      <c r="O39" s="62" t="s">
        <v>25</v>
      </c>
      <c r="P39" s="73" t="s">
        <v>26</v>
      </c>
      <c r="Q39" s="58"/>
    </row>
    <row r="40" spans="1:17" hidden="1" x14ac:dyDescent="0.25">
      <c r="A40" s="58">
        <v>39</v>
      </c>
      <c r="B40" s="82" t="s">
        <v>200</v>
      </c>
      <c r="C40" s="82" t="s">
        <v>201</v>
      </c>
      <c r="D40" s="82" t="s">
        <v>202</v>
      </c>
      <c r="E40" s="94" t="s">
        <v>203</v>
      </c>
      <c r="F40" s="88">
        <v>10</v>
      </c>
      <c r="G40" s="89">
        <v>0.42199999999999999</v>
      </c>
      <c r="H40" s="90">
        <f t="shared" si="8"/>
        <v>4.22</v>
      </c>
      <c r="I40" s="91">
        <f t="shared" si="4"/>
        <v>110521.79999999999</v>
      </c>
      <c r="J40" s="84"/>
      <c r="K40" s="84"/>
      <c r="L40" s="92"/>
      <c r="M40" s="84"/>
      <c r="N40" s="72" t="s">
        <v>199</v>
      </c>
      <c r="O40" s="95" t="s">
        <v>204</v>
      </c>
      <c r="P40" s="73" t="s">
        <v>26</v>
      </c>
      <c r="Q40" s="58"/>
    </row>
    <row r="41" spans="1:17" hidden="1" x14ac:dyDescent="0.25">
      <c r="A41" s="58">
        <v>40</v>
      </c>
      <c r="B41" s="80" t="s">
        <v>205</v>
      </c>
      <c r="C41" s="80" t="s">
        <v>206</v>
      </c>
      <c r="D41" s="80" t="s">
        <v>207</v>
      </c>
      <c r="E41" s="94" t="s">
        <v>208</v>
      </c>
      <c r="F41" s="96">
        <v>10</v>
      </c>
      <c r="G41" s="89">
        <v>0.34599999999999997</v>
      </c>
      <c r="H41" s="90">
        <f t="shared" si="8"/>
        <v>3.46</v>
      </c>
      <c r="I41" s="91">
        <f>H41*26190</f>
        <v>90617.4</v>
      </c>
      <c r="J41" s="72"/>
      <c r="K41" s="72"/>
      <c r="L41" s="92"/>
      <c r="M41" s="72"/>
      <c r="N41" s="72" t="s">
        <v>199</v>
      </c>
      <c r="O41" s="62" t="s">
        <v>25</v>
      </c>
      <c r="P41" s="73" t="s">
        <v>26</v>
      </c>
      <c r="Q41" s="58"/>
    </row>
    <row r="42" spans="1:17" hidden="1" x14ac:dyDescent="0.25">
      <c r="A42" s="58">
        <v>41</v>
      </c>
      <c r="B42" s="80" t="s">
        <v>209</v>
      </c>
      <c r="C42" s="80" t="s">
        <v>210</v>
      </c>
      <c r="D42" s="80" t="s">
        <v>211</v>
      </c>
      <c r="E42" s="77" t="s">
        <v>212</v>
      </c>
      <c r="F42" s="72">
        <v>10</v>
      </c>
      <c r="G42" s="85">
        <v>1</v>
      </c>
      <c r="H42" s="78">
        <f t="shared" si="8"/>
        <v>10</v>
      </c>
      <c r="I42" s="86">
        <f t="shared" ref="I42:I82" si="9">H42*26190</f>
        <v>261900</v>
      </c>
      <c r="J42" s="62" t="str">
        <f>_xlfn.TEXTBEFORE(_xlfn.TEXTAFTER(D42, "CER "), "F")</f>
        <v>22U</v>
      </c>
      <c r="K42" s="72" t="s">
        <v>103</v>
      </c>
      <c r="L42" s="92"/>
      <c r="M42" s="81" t="str">
        <f>RIGHT(TRIM(D42), 4)</f>
        <v>1210</v>
      </c>
      <c r="N42" s="62" t="str">
        <f>IF(LEFT(D42,3)="RES", "Resistor", IF(LEFT(D42,3)="CAP", "Capacitor", "Other"))</f>
        <v>Capacitor</v>
      </c>
      <c r="O42" s="62" t="s">
        <v>25</v>
      </c>
      <c r="P42" s="73" t="s">
        <v>26</v>
      </c>
      <c r="Q42" s="62"/>
    </row>
    <row r="43" spans="1:17" hidden="1" x14ac:dyDescent="0.25">
      <c r="A43" s="58">
        <v>42</v>
      </c>
      <c r="B43" s="80" t="s">
        <v>213</v>
      </c>
      <c r="C43" s="80" t="s">
        <v>105</v>
      </c>
      <c r="D43" s="80" t="s">
        <v>214</v>
      </c>
      <c r="E43" s="77" t="s">
        <v>215</v>
      </c>
      <c r="F43" s="72">
        <v>30</v>
      </c>
      <c r="G43" s="85">
        <v>0.14000000000000001</v>
      </c>
      <c r="H43" s="78">
        <f t="shared" si="8"/>
        <v>4.2</v>
      </c>
      <c r="I43" s="86">
        <f t="shared" si="9"/>
        <v>109998</v>
      </c>
      <c r="J43" s="62" t="str">
        <f>_xlfn.TEXTBEFORE(_xlfn.TEXTAFTER(D43, "CER "), "F")</f>
        <v>0.1U</v>
      </c>
      <c r="K43" s="72" t="s">
        <v>103</v>
      </c>
      <c r="L43" s="92"/>
      <c r="M43" s="81" t="str">
        <f>RIGHT(TRIM(D43), 4)</f>
        <v>0402</v>
      </c>
      <c r="N43" s="62" t="str">
        <f>IF(LEFT(D43,3)="RES", "Resistor", IF(LEFT(D43,3)="CAP", "Capacitor", "Other"))</f>
        <v>Capacitor</v>
      </c>
      <c r="O43" s="62" t="s">
        <v>25</v>
      </c>
      <c r="P43" s="73" t="s">
        <v>26</v>
      </c>
      <c r="Q43" s="62"/>
    </row>
    <row r="44" spans="1:17" hidden="1" x14ac:dyDescent="0.25">
      <c r="A44" s="58">
        <v>43</v>
      </c>
      <c r="B44" s="80" t="s">
        <v>216</v>
      </c>
      <c r="C44" s="80" t="s">
        <v>217</v>
      </c>
      <c r="D44" s="80" t="s">
        <v>218</v>
      </c>
      <c r="E44" s="94" t="s">
        <v>219</v>
      </c>
      <c r="F44" s="96">
        <v>4</v>
      </c>
      <c r="G44" s="89">
        <v>10.75</v>
      </c>
      <c r="H44" s="90">
        <f t="shared" si="8"/>
        <v>43</v>
      </c>
      <c r="I44" s="91">
        <f t="shared" si="9"/>
        <v>1126170</v>
      </c>
      <c r="J44" s="72"/>
      <c r="K44" s="62" t="s">
        <v>22</v>
      </c>
      <c r="L44" s="92" t="s">
        <v>21</v>
      </c>
      <c r="M44" s="72"/>
      <c r="N44" s="84" t="s">
        <v>187</v>
      </c>
      <c r="O44" s="62" t="s">
        <v>25</v>
      </c>
      <c r="P44" s="73" t="s">
        <v>26</v>
      </c>
      <c r="Q44" s="58"/>
    </row>
    <row r="45" spans="1:17" hidden="1" x14ac:dyDescent="0.25">
      <c r="A45" s="58">
        <v>44</v>
      </c>
      <c r="B45" s="80" t="s">
        <v>220</v>
      </c>
      <c r="C45" s="80" t="s">
        <v>221</v>
      </c>
      <c r="D45" s="80" t="s">
        <v>222</v>
      </c>
      <c r="E45" s="94" t="s">
        <v>223</v>
      </c>
      <c r="F45" s="96">
        <v>30</v>
      </c>
      <c r="G45" s="89">
        <v>0.47599999999999998</v>
      </c>
      <c r="H45" s="90">
        <f t="shared" si="8"/>
        <v>14.28</v>
      </c>
      <c r="I45" s="91">
        <f t="shared" si="9"/>
        <v>373993.2</v>
      </c>
      <c r="J45" s="72"/>
      <c r="K45" s="72"/>
      <c r="L45" s="92"/>
      <c r="M45" s="72"/>
      <c r="N45" s="72" t="s">
        <v>199</v>
      </c>
      <c r="O45" s="62" t="s">
        <v>25</v>
      </c>
      <c r="P45" s="73" t="s">
        <v>26</v>
      </c>
      <c r="Q45" s="58"/>
    </row>
    <row r="46" spans="1:17" x14ac:dyDescent="0.25">
      <c r="A46" s="58">
        <v>45</v>
      </c>
      <c r="B46" s="80" t="s">
        <v>224</v>
      </c>
      <c r="C46" s="80" t="s">
        <v>225</v>
      </c>
      <c r="D46" s="80" t="s">
        <v>226</v>
      </c>
      <c r="E46" s="77" t="s">
        <v>227</v>
      </c>
      <c r="F46" s="72">
        <v>30</v>
      </c>
      <c r="G46" s="85">
        <v>0.24</v>
      </c>
      <c r="H46" s="78">
        <f t="shared" si="8"/>
        <v>7.1999999999999993</v>
      </c>
      <c r="I46" s="86">
        <f t="shared" si="9"/>
        <v>188567.99999999997</v>
      </c>
      <c r="J46" s="62" t="str">
        <f>TRIM(LEFT(SUBSTITUTE(TRIM(SUBSTITUTE(SUBSTITUTE(D46,"RES",""),"SMD",""))," ",REPT(" ",100)),100))</f>
        <v>604</v>
      </c>
      <c r="K46" s="72" t="s">
        <v>50</v>
      </c>
      <c r="L46" s="62" t="str">
        <f>_xlfn.TEXTAFTER(_xlfn.TEXTBEFORE(D46, "%"), " ", -1) &amp; "%"</f>
        <v>0.1%</v>
      </c>
      <c r="M46" s="72" t="str">
        <f t="shared" ref="M46:M54" si="10">RIGHT(TRIM(D46), 4)</f>
        <v>0603</v>
      </c>
      <c r="N46" s="62" t="str">
        <f t="shared" ref="N46:N54" si="11">IF(LEFT(D46,3)="RES", "Resistor", IF(LEFT(D46,3)="CAP", "Capacitor", "Other"))</f>
        <v>Resistor</v>
      </c>
      <c r="O46" s="62" t="s">
        <v>25</v>
      </c>
      <c r="P46" s="73" t="s">
        <v>26</v>
      </c>
      <c r="Q46" s="62"/>
    </row>
    <row r="47" spans="1:17" x14ac:dyDescent="0.25">
      <c r="A47" s="58">
        <v>46</v>
      </c>
      <c r="B47" s="80" t="s">
        <v>228</v>
      </c>
      <c r="C47" s="80" t="s">
        <v>229</v>
      </c>
      <c r="D47" s="80" t="s">
        <v>230</v>
      </c>
      <c r="E47" s="77" t="s">
        <v>231</v>
      </c>
      <c r="F47" s="72">
        <v>30</v>
      </c>
      <c r="G47" s="85">
        <v>0.1</v>
      </c>
      <c r="H47" s="78">
        <f t="shared" si="8"/>
        <v>3</v>
      </c>
      <c r="I47" s="86">
        <f t="shared" si="9"/>
        <v>78570</v>
      </c>
      <c r="J47" s="62" t="str">
        <f>TRIM(LEFT(SUBSTITUTE(TRIM(SUBSTITUTE(SUBSTITUTE(D47,"RES",""),"SMD",""))," ",REPT(" ",100)),100))</f>
        <v>100K</v>
      </c>
      <c r="K47" s="72" t="s">
        <v>50</v>
      </c>
      <c r="L47" s="62" t="str">
        <f>_xlfn.TEXTAFTER(_xlfn.TEXTBEFORE(D47, "%"), " ", -1) &amp; "%"</f>
        <v>1%</v>
      </c>
      <c r="M47" s="72" t="str">
        <f t="shared" si="10"/>
        <v>0603</v>
      </c>
      <c r="N47" s="62" t="str">
        <f t="shared" si="11"/>
        <v>Resistor</v>
      </c>
      <c r="O47" s="62" t="s">
        <v>25</v>
      </c>
      <c r="P47" s="73" t="s">
        <v>26</v>
      </c>
      <c r="Q47" s="62"/>
    </row>
    <row r="48" spans="1:17" x14ac:dyDescent="0.25">
      <c r="A48" s="58">
        <v>47</v>
      </c>
      <c r="B48" s="80" t="s">
        <v>232</v>
      </c>
      <c r="C48" s="80" t="s">
        <v>233</v>
      </c>
      <c r="D48" s="80" t="s">
        <v>234</v>
      </c>
      <c r="E48" s="77" t="s">
        <v>235</v>
      </c>
      <c r="F48" s="72">
        <v>30</v>
      </c>
      <c r="G48" s="85">
        <v>0.1</v>
      </c>
      <c r="H48" s="78">
        <f t="shared" si="8"/>
        <v>3</v>
      </c>
      <c r="I48" s="86">
        <f t="shared" si="9"/>
        <v>78570</v>
      </c>
      <c r="J48" s="62" t="str">
        <f>TRIM(LEFT(SUBSTITUTE(TRIM(SUBSTITUTE(SUBSTITUTE(D48,"RES",""),"SMD",""))," ",REPT(" ",100)),100))</f>
        <v>649K</v>
      </c>
      <c r="K48" s="72" t="s">
        <v>50</v>
      </c>
      <c r="L48" s="62" t="str">
        <f>_xlfn.TEXTAFTER(_xlfn.TEXTBEFORE(D48, "%"), " ", -1) &amp; "%"</f>
        <v>1%</v>
      </c>
      <c r="M48" s="72" t="str">
        <f t="shared" si="10"/>
        <v>0603</v>
      </c>
      <c r="N48" s="62" t="str">
        <f t="shared" si="11"/>
        <v>Resistor</v>
      </c>
      <c r="O48" s="62" t="s">
        <v>25</v>
      </c>
      <c r="P48" s="73" t="s">
        <v>26</v>
      </c>
      <c r="Q48" s="62"/>
    </row>
    <row r="49" spans="1:17" hidden="1" x14ac:dyDescent="0.25">
      <c r="A49" s="58">
        <v>48</v>
      </c>
      <c r="B49" s="80" t="s">
        <v>236</v>
      </c>
      <c r="C49" s="80" t="s">
        <v>237</v>
      </c>
      <c r="D49" s="80" t="s">
        <v>238</v>
      </c>
      <c r="E49" s="77" t="s">
        <v>239</v>
      </c>
      <c r="F49" s="72">
        <v>30</v>
      </c>
      <c r="G49" s="85">
        <v>0.12</v>
      </c>
      <c r="H49" s="78">
        <f t="shared" si="8"/>
        <v>3.5999999999999996</v>
      </c>
      <c r="I49" s="86">
        <f t="shared" si="9"/>
        <v>94283.999999999985</v>
      </c>
      <c r="J49" s="62" t="str">
        <f>_xlfn.TEXTBEFORE(_xlfn.TEXTAFTER(D49, "CER "), "F")</f>
        <v>10U</v>
      </c>
      <c r="K49" s="72" t="s">
        <v>103</v>
      </c>
      <c r="L49" s="92"/>
      <c r="M49" s="81" t="str">
        <f t="shared" si="10"/>
        <v>0805</v>
      </c>
      <c r="N49" s="62" t="str">
        <f t="shared" si="11"/>
        <v>Capacitor</v>
      </c>
      <c r="O49" s="62" t="s">
        <v>25</v>
      </c>
      <c r="P49" s="73" t="s">
        <v>26</v>
      </c>
      <c r="Q49" s="62"/>
    </row>
    <row r="50" spans="1:17" x14ac:dyDescent="0.25">
      <c r="A50" s="58">
        <v>49</v>
      </c>
      <c r="B50" s="80" t="s">
        <v>240</v>
      </c>
      <c r="C50" s="80" t="s">
        <v>241</v>
      </c>
      <c r="D50" s="80" t="s">
        <v>242</v>
      </c>
      <c r="E50" s="77" t="s">
        <v>243</v>
      </c>
      <c r="F50" s="72">
        <v>30</v>
      </c>
      <c r="G50" s="85">
        <v>0.1</v>
      </c>
      <c r="H50" s="78">
        <f t="shared" si="8"/>
        <v>3</v>
      </c>
      <c r="I50" s="86">
        <f t="shared" si="9"/>
        <v>78570</v>
      </c>
      <c r="J50" s="62" t="str">
        <f>TRIM(LEFT(SUBSTITUTE(TRIM(SUBSTITUTE(SUBSTITUTE(D50,"RES",""),"SMD",""))," ",REPT(" ",100)),100))</f>
        <v>12K</v>
      </c>
      <c r="K50" s="72" t="s">
        <v>50</v>
      </c>
      <c r="L50" s="62" t="str">
        <f>_xlfn.TEXTAFTER(_xlfn.TEXTBEFORE(D50, "%"), " ", -1) &amp; "%"</f>
        <v>1%</v>
      </c>
      <c r="M50" s="72" t="str">
        <f t="shared" si="10"/>
        <v>0603</v>
      </c>
      <c r="N50" s="62" t="str">
        <f t="shared" si="11"/>
        <v>Resistor</v>
      </c>
      <c r="O50" s="62" t="s">
        <v>25</v>
      </c>
      <c r="P50" s="73" t="s">
        <v>26</v>
      </c>
      <c r="Q50" s="62"/>
    </row>
    <row r="51" spans="1:17" hidden="1" x14ac:dyDescent="0.25">
      <c r="A51" s="58">
        <v>50</v>
      </c>
      <c r="B51" s="80" t="s">
        <v>244</v>
      </c>
      <c r="C51" s="80" t="s">
        <v>245</v>
      </c>
      <c r="D51" s="80" t="s">
        <v>246</v>
      </c>
      <c r="E51" s="77" t="s">
        <v>247</v>
      </c>
      <c r="F51" s="72">
        <v>30</v>
      </c>
      <c r="G51" s="85">
        <v>0.13</v>
      </c>
      <c r="H51" s="78">
        <f t="shared" si="8"/>
        <v>3.9000000000000004</v>
      </c>
      <c r="I51" s="86">
        <f t="shared" si="9"/>
        <v>102141.00000000001</v>
      </c>
      <c r="J51" s="62" t="str">
        <f>_xlfn.TEXTBEFORE(_xlfn.TEXTAFTER(D51, "CER "), "F")</f>
        <v>0.047U</v>
      </c>
      <c r="K51" s="72" t="s">
        <v>103</v>
      </c>
      <c r="L51" s="92">
        <v>0.1</v>
      </c>
      <c r="M51" s="72" t="str">
        <f t="shared" si="10"/>
        <v>0603</v>
      </c>
      <c r="N51" s="62" t="str">
        <f t="shared" si="11"/>
        <v>Capacitor</v>
      </c>
      <c r="O51" s="62" t="s">
        <v>25</v>
      </c>
      <c r="P51" s="73" t="s">
        <v>26</v>
      </c>
      <c r="Q51" s="62"/>
    </row>
    <row r="52" spans="1:17" x14ac:dyDescent="0.25">
      <c r="A52" s="58">
        <v>51</v>
      </c>
      <c r="B52" s="80" t="s">
        <v>248</v>
      </c>
      <c r="C52" s="80" t="s">
        <v>249</v>
      </c>
      <c r="D52" s="80" t="s">
        <v>250</v>
      </c>
      <c r="E52" s="77" t="s">
        <v>251</v>
      </c>
      <c r="F52" s="72">
        <v>30</v>
      </c>
      <c r="G52" s="85">
        <v>0.1</v>
      </c>
      <c r="H52" s="78">
        <f t="shared" si="8"/>
        <v>3</v>
      </c>
      <c r="I52" s="86">
        <f t="shared" si="9"/>
        <v>78570</v>
      </c>
      <c r="J52" s="62" t="str">
        <f>TRIM(LEFT(SUBSTITUTE(TRIM(SUBSTITUTE(SUBSTITUTE(D52,"RES",""),"SMD",""))," ",REPT(" ",100)),100))</f>
        <v>15K</v>
      </c>
      <c r="K52" s="72" t="s">
        <v>50</v>
      </c>
      <c r="L52" s="62" t="str">
        <f>_xlfn.TEXTAFTER(_xlfn.TEXTBEFORE(D52, "%"), " ", -1) &amp; "%"</f>
        <v>1%</v>
      </c>
      <c r="M52" s="72" t="str">
        <f t="shared" si="10"/>
        <v>0603</v>
      </c>
      <c r="N52" s="62" t="str">
        <f t="shared" si="11"/>
        <v>Resistor</v>
      </c>
      <c r="O52" s="62" t="s">
        <v>25</v>
      </c>
      <c r="P52" s="73" t="s">
        <v>26</v>
      </c>
      <c r="Q52" s="62"/>
    </row>
    <row r="53" spans="1:17" hidden="1" x14ac:dyDescent="0.25">
      <c r="A53" s="58">
        <v>52</v>
      </c>
      <c r="B53" s="80" t="s">
        <v>252</v>
      </c>
      <c r="C53" s="80" t="s">
        <v>253</v>
      </c>
      <c r="D53" s="80" t="s">
        <v>254</v>
      </c>
      <c r="E53" s="77" t="s">
        <v>255</v>
      </c>
      <c r="F53" s="72">
        <v>30</v>
      </c>
      <c r="G53" s="85">
        <v>0.15</v>
      </c>
      <c r="H53" s="78">
        <f t="shared" si="8"/>
        <v>4.5</v>
      </c>
      <c r="I53" s="86">
        <f t="shared" si="9"/>
        <v>117855</v>
      </c>
      <c r="J53" s="62" t="str">
        <f>_xlfn.TEXTBEFORE(_xlfn.TEXTAFTER(D53, "CER "), "F")</f>
        <v>0.068U</v>
      </c>
      <c r="K53" s="72" t="s">
        <v>103</v>
      </c>
      <c r="L53" s="92"/>
      <c r="M53" s="72" t="str">
        <f t="shared" si="10"/>
        <v>0603</v>
      </c>
      <c r="N53" s="62" t="str">
        <f t="shared" si="11"/>
        <v>Capacitor</v>
      </c>
      <c r="O53" s="62" t="s">
        <v>25</v>
      </c>
      <c r="P53" s="73" t="s">
        <v>26</v>
      </c>
      <c r="Q53" s="62"/>
    </row>
    <row r="54" spans="1:17" hidden="1" x14ac:dyDescent="0.25">
      <c r="A54" s="58">
        <v>53</v>
      </c>
      <c r="B54" s="80" t="s">
        <v>256</v>
      </c>
      <c r="C54" s="80" t="s">
        <v>257</v>
      </c>
      <c r="D54" s="80" t="s">
        <v>258</v>
      </c>
      <c r="E54" s="77" t="s">
        <v>259</v>
      </c>
      <c r="F54" s="72">
        <v>30</v>
      </c>
      <c r="G54" s="85">
        <v>0.08</v>
      </c>
      <c r="H54" s="78">
        <f t="shared" si="8"/>
        <v>2.4</v>
      </c>
      <c r="I54" s="86">
        <f t="shared" si="9"/>
        <v>62856</v>
      </c>
      <c r="J54" s="62" t="str">
        <f>_xlfn.TEXTBEFORE(_xlfn.TEXTAFTER(D54, "CER "), "F")</f>
        <v>100P</v>
      </c>
      <c r="K54" s="72" t="s">
        <v>103</v>
      </c>
      <c r="L54" s="92"/>
      <c r="M54" s="72" t="str">
        <f t="shared" si="10"/>
        <v>0603</v>
      </c>
      <c r="N54" s="62" t="str">
        <f t="shared" si="11"/>
        <v>Capacitor</v>
      </c>
      <c r="O54" s="62" t="s">
        <v>25</v>
      </c>
      <c r="P54" s="73" t="s">
        <v>26</v>
      </c>
      <c r="Q54" s="62"/>
    </row>
    <row r="55" spans="1:17" hidden="1" x14ac:dyDescent="0.25">
      <c r="A55" s="58">
        <v>54</v>
      </c>
      <c r="B55" s="80" t="s">
        <v>260</v>
      </c>
      <c r="C55" s="80" t="s">
        <v>261</v>
      </c>
      <c r="D55" s="80" t="s">
        <v>262</v>
      </c>
      <c r="E55" s="94" t="s">
        <v>263</v>
      </c>
      <c r="F55" s="96">
        <v>4</v>
      </c>
      <c r="G55" s="89">
        <v>4.05</v>
      </c>
      <c r="H55" s="90">
        <f t="shared" si="8"/>
        <v>16.2</v>
      </c>
      <c r="I55" s="91">
        <f t="shared" si="9"/>
        <v>424278</v>
      </c>
      <c r="J55" s="72" t="s">
        <v>21</v>
      </c>
      <c r="K55" s="62" t="s">
        <v>22</v>
      </c>
      <c r="L55" s="92" t="s">
        <v>21</v>
      </c>
      <c r="M55" s="72"/>
      <c r="N55" s="72" t="s">
        <v>187</v>
      </c>
      <c r="O55" s="62" t="s">
        <v>25</v>
      </c>
      <c r="P55" s="73" t="s">
        <v>26</v>
      </c>
      <c r="Q55" s="58"/>
    </row>
    <row r="56" spans="1:17" hidden="1" x14ac:dyDescent="0.25">
      <c r="A56" s="58">
        <v>55</v>
      </c>
      <c r="B56" s="80" t="s">
        <v>264</v>
      </c>
      <c r="C56" s="80" t="s">
        <v>265</v>
      </c>
      <c r="D56" s="80" t="s">
        <v>266</v>
      </c>
      <c r="E56" s="94" t="s">
        <v>267</v>
      </c>
      <c r="F56" s="96">
        <v>4</v>
      </c>
      <c r="G56" s="89">
        <v>5.05</v>
      </c>
      <c r="H56" s="90">
        <f t="shared" si="8"/>
        <v>20.2</v>
      </c>
      <c r="I56" s="91">
        <f t="shared" si="9"/>
        <v>529038</v>
      </c>
      <c r="J56" s="72" t="s">
        <v>21</v>
      </c>
      <c r="K56" s="62" t="s">
        <v>22</v>
      </c>
      <c r="L56" s="92" t="s">
        <v>21</v>
      </c>
      <c r="M56" s="72"/>
      <c r="N56" s="72" t="s">
        <v>187</v>
      </c>
      <c r="O56" s="62" t="s">
        <v>25</v>
      </c>
      <c r="P56" s="73" t="s">
        <v>26</v>
      </c>
      <c r="Q56" s="58"/>
    </row>
    <row r="57" spans="1:17" hidden="1" x14ac:dyDescent="0.25">
      <c r="A57" s="58">
        <v>56</v>
      </c>
      <c r="B57" s="80" t="s">
        <v>268</v>
      </c>
      <c r="C57" s="80" t="s">
        <v>269</v>
      </c>
      <c r="D57" s="80" t="s">
        <v>270</v>
      </c>
      <c r="E57" s="94" t="s">
        <v>271</v>
      </c>
      <c r="F57" s="96">
        <v>10</v>
      </c>
      <c r="G57" s="89">
        <v>0.32</v>
      </c>
      <c r="H57" s="90">
        <f t="shared" si="8"/>
        <v>3.2</v>
      </c>
      <c r="I57" s="91">
        <f t="shared" si="9"/>
        <v>83808</v>
      </c>
      <c r="J57" s="72" t="s">
        <v>21</v>
      </c>
      <c r="K57" s="62" t="s">
        <v>22</v>
      </c>
      <c r="L57" s="92" t="s">
        <v>21</v>
      </c>
      <c r="M57" s="72"/>
      <c r="N57" s="72" t="s">
        <v>187</v>
      </c>
      <c r="O57" s="62" t="s">
        <v>25</v>
      </c>
      <c r="P57" s="73" t="s">
        <v>26</v>
      </c>
      <c r="Q57" s="58"/>
    </row>
    <row r="58" spans="1:17" hidden="1" x14ac:dyDescent="0.25">
      <c r="A58" s="58">
        <v>57</v>
      </c>
      <c r="B58" s="80" t="s">
        <v>182</v>
      </c>
      <c r="C58" s="80" t="s">
        <v>183</v>
      </c>
      <c r="D58" s="80" t="s">
        <v>272</v>
      </c>
      <c r="E58" s="94" t="s">
        <v>273</v>
      </c>
      <c r="F58" s="96">
        <v>10</v>
      </c>
      <c r="G58" s="89">
        <v>0.36</v>
      </c>
      <c r="H58" s="90">
        <f t="shared" si="8"/>
        <v>3.5999999999999996</v>
      </c>
      <c r="I58" s="91">
        <f t="shared" si="9"/>
        <v>94283.999999999985</v>
      </c>
      <c r="J58" s="72" t="s">
        <v>21</v>
      </c>
      <c r="K58" s="62" t="s">
        <v>22</v>
      </c>
      <c r="L58" s="92" t="s">
        <v>21</v>
      </c>
      <c r="M58" s="72"/>
      <c r="N58" s="72" t="s">
        <v>187</v>
      </c>
      <c r="O58" s="62" t="s">
        <v>25</v>
      </c>
      <c r="P58" s="73" t="s">
        <v>26</v>
      </c>
      <c r="Q58" s="58"/>
    </row>
    <row r="59" spans="1:17" hidden="1" x14ac:dyDescent="0.25">
      <c r="A59" s="58">
        <v>58</v>
      </c>
      <c r="B59" s="80" t="s">
        <v>274</v>
      </c>
      <c r="C59" s="80" t="s">
        <v>275</v>
      </c>
      <c r="D59" s="80" t="s">
        <v>276</v>
      </c>
      <c r="E59" s="94" t="s">
        <v>277</v>
      </c>
      <c r="F59" s="96">
        <v>25</v>
      </c>
      <c r="G59" s="89">
        <v>0.1</v>
      </c>
      <c r="H59" s="90">
        <f t="shared" si="8"/>
        <v>2.5</v>
      </c>
      <c r="I59" s="91">
        <f t="shared" si="9"/>
        <v>65475</v>
      </c>
      <c r="J59" s="72">
        <v>600</v>
      </c>
      <c r="K59" s="72" t="s">
        <v>50</v>
      </c>
      <c r="L59" s="92"/>
      <c r="M59" s="64" t="s">
        <v>162</v>
      </c>
      <c r="N59" s="72" t="s">
        <v>278</v>
      </c>
      <c r="O59" s="62" t="s">
        <v>25</v>
      </c>
      <c r="P59" s="73" t="s">
        <v>26</v>
      </c>
      <c r="Q59" s="58"/>
    </row>
    <row r="60" spans="1:17" hidden="1" x14ac:dyDescent="0.25">
      <c r="A60" s="58">
        <v>59</v>
      </c>
      <c r="B60" s="80" t="s">
        <v>279</v>
      </c>
      <c r="C60" s="80" t="s">
        <v>280</v>
      </c>
      <c r="D60" s="80" t="s">
        <v>281</v>
      </c>
      <c r="E60" s="77" t="s">
        <v>282</v>
      </c>
      <c r="F60" s="72">
        <v>30</v>
      </c>
      <c r="G60" s="85">
        <v>0.11</v>
      </c>
      <c r="H60" s="78">
        <f t="shared" si="8"/>
        <v>3.3</v>
      </c>
      <c r="I60" s="86">
        <f t="shared" si="9"/>
        <v>86427</v>
      </c>
      <c r="J60" s="62" t="str">
        <f>_xlfn.TEXTBEFORE(_xlfn.TEXTAFTER(D60, "CER "), "F")</f>
        <v>1U</v>
      </c>
      <c r="K60" s="72" t="s">
        <v>103</v>
      </c>
      <c r="L60" s="92"/>
      <c r="M60" s="72" t="str">
        <f t="shared" ref="M60:M72" si="12">RIGHT(TRIM(D60), 4)</f>
        <v>0603</v>
      </c>
      <c r="N60" s="62" t="str">
        <f t="shared" ref="N60:N72" si="13">IF(LEFT(D60,3)="RES", "Resistor", IF(LEFT(D60,3)="CAP", "Capacitor", "Other"))</f>
        <v>Capacitor</v>
      </c>
      <c r="O60" s="62" t="s">
        <v>25</v>
      </c>
      <c r="P60" s="73" t="s">
        <v>26</v>
      </c>
      <c r="Q60" s="62"/>
    </row>
    <row r="61" spans="1:17" x14ac:dyDescent="0.25">
      <c r="A61" s="58">
        <v>60</v>
      </c>
      <c r="B61" s="80" t="s">
        <v>283</v>
      </c>
      <c r="C61" s="80" t="s">
        <v>284</v>
      </c>
      <c r="D61" s="80" t="s">
        <v>285</v>
      </c>
      <c r="E61" s="77" t="s">
        <v>286</v>
      </c>
      <c r="F61" s="72">
        <v>25</v>
      </c>
      <c r="G61" s="85">
        <v>0.1</v>
      </c>
      <c r="H61" s="78">
        <f t="shared" si="8"/>
        <v>2.5</v>
      </c>
      <c r="I61" s="86">
        <f t="shared" si="9"/>
        <v>65475</v>
      </c>
      <c r="J61" s="62" t="str">
        <f>TRIM(LEFT(SUBSTITUTE(TRIM(SUBSTITUTE(SUBSTITUTE(D61,"RES",""),"SMD",""))," ",REPT(" ",100)),100))</f>
        <v>2.61K</v>
      </c>
      <c r="K61" s="72" t="s">
        <v>50</v>
      </c>
      <c r="L61" s="62" t="str">
        <f>_xlfn.TEXTAFTER(_xlfn.TEXTBEFORE(D61, "%"), " ", -1) &amp; "%"</f>
        <v>1%</v>
      </c>
      <c r="M61" s="72" t="str">
        <f t="shared" si="12"/>
        <v>0603</v>
      </c>
      <c r="N61" s="62" t="str">
        <f t="shared" si="13"/>
        <v>Resistor</v>
      </c>
      <c r="O61" s="62" t="s">
        <v>25</v>
      </c>
      <c r="P61" s="73" t="s">
        <v>26</v>
      </c>
      <c r="Q61" s="62"/>
    </row>
    <row r="62" spans="1:17" hidden="1" x14ac:dyDescent="0.25">
      <c r="A62" s="58">
        <v>61</v>
      </c>
      <c r="B62" s="80" t="s">
        <v>287</v>
      </c>
      <c r="C62" s="80" t="s">
        <v>288</v>
      </c>
      <c r="D62" s="80" t="s">
        <v>289</v>
      </c>
      <c r="E62" s="77" t="s">
        <v>290</v>
      </c>
      <c r="F62" s="72">
        <v>25</v>
      </c>
      <c r="G62" s="85">
        <v>0.34</v>
      </c>
      <c r="H62" s="78">
        <f t="shared" si="8"/>
        <v>8.5</v>
      </c>
      <c r="I62" s="86">
        <f t="shared" si="9"/>
        <v>222615</v>
      </c>
      <c r="J62" s="62" t="str">
        <f>_xlfn.TEXTBEFORE(_xlfn.TEXTAFTER(D62, "CER "), "F")</f>
        <v>150P</v>
      </c>
      <c r="K62" s="72" t="s">
        <v>103</v>
      </c>
      <c r="L62" s="92"/>
      <c r="M62" s="81" t="str">
        <f t="shared" si="12"/>
        <v>0402</v>
      </c>
      <c r="N62" s="62" t="str">
        <f t="shared" si="13"/>
        <v>Capacitor</v>
      </c>
      <c r="O62" s="62" t="s">
        <v>25</v>
      </c>
      <c r="P62" s="73" t="s">
        <v>26</v>
      </c>
      <c r="Q62" s="62"/>
    </row>
    <row r="63" spans="1:17" hidden="1" x14ac:dyDescent="0.25">
      <c r="A63" s="58">
        <v>62</v>
      </c>
      <c r="B63" s="80" t="s">
        <v>291</v>
      </c>
      <c r="C63" s="80" t="s">
        <v>292</v>
      </c>
      <c r="D63" s="80" t="s">
        <v>293</v>
      </c>
      <c r="E63" s="77" t="s">
        <v>294</v>
      </c>
      <c r="F63" s="72">
        <v>25</v>
      </c>
      <c r="G63" s="85">
        <v>0.1</v>
      </c>
      <c r="H63" s="78">
        <f t="shared" si="8"/>
        <v>2.5</v>
      </c>
      <c r="I63" s="86">
        <f t="shared" si="9"/>
        <v>65475</v>
      </c>
      <c r="J63" s="62" t="str">
        <f>_xlfn.TEXTBEFORE(_xlfn.TEXTAFTER(D63, "CER "), "F")</f>
        <v>33P</v>
      </c>
      <c r="K63" s="72" t="s">
        <v>103</v>
      </c>
      <c r="L63" s="92"/>
      <c r="M63" s="72" t="str">
        <f t="shared" si="12"/>
        <v>0603</v>
      </c>
      <c r="N63" s="62" t="str">
        <f t="shared" si="13"/>
        <v>Capacitor</v>
      </c>
      <c r="O63" s="62" t="s">
        <v>25</v>
      </c>
      <c r="P63" s="97" t="s">
        <v>26</v>
      </c>
      <c r="Q63" s="62"/>
    </row>
    <row r="64" spans="1:17" x14ac:dyDescent="0.25">
      <c r="A64" s="58">
        <v>63</v>
      </c>
      <c r="B64" s="68" t="s">
        <v>295</v>
      </c>
      <c r="C64" s="68" t="s">
        <v>296</v>
      </c>
      <c r="D64" s="80" t="s">
        <v>297</v>
      </c>
      <c r="E64" s="74" t="s">
        <v>298</v>
      </c>
      <c r="F64" s="72">
        <v>12</v>
      </c>
      <c r="G64" s="85">
        <v>1.1759999999999999</v>
      </c>
      <c r="H64" s="78">
        <f t="shared" si="8"/>
        <v>14.111999999999998</v>
      </c>
      <c r="I64" s="86">
        <f t="shared" si="9"/>
        <v>369593.27999999997</v>
      </c>
      <c r="J64" s="62" t="str">
        <f t="shared" ref="J64:J71" si="14">TRIM(LEFT(SUBSTITUTE(TRIM(SUBSTITUTE(SUBSTITUTE(D64,"RES",""),"SMD",""))," ",REPT(" ",100)),100))</f>
        <v>49.9</v>
      </c>
      <c r="K64" s="72" t="s">
        <v>50</v>
      </c>
      <c r="L64" s="62" t="str">
        <f t="shared" ref="L64:L71" si="15">_xlfn.TEXTAFTER(_xlfn.TEXTBEFORE(D64, "%"), " ", -1) &amp; "%"</f>
        <v>0.01%</v>
      </c>
      <c r="M64" s="72" t="str">
        <f t="shared" si="12"/>
        <v>0603</v>
      </c>
      <c r="N64" s="62" t="str">
        <f t="shared" si="13"/>
        <v>Resistor</v>
      </c>
      <c r="O64" s="62" t="s">
        <v>299</v>
      </c>
      <c r="P64" s="97" t="s">
        <v>26</v>
      </c>
      <c r="Q64" s="62"/>
    </row>
    <row r="65" spans="1:17" ht="16.5" customHeight="1" x14ac:dyDescent="0.25">
      <c r="A65" s="58">
        <v>64</v>
      </c>
      <c r="B65" s="80" t="s">
        <v>300</v>
      </c>
      <c r="C65" s="80" t="s">
        <v>301</v>
      </c>
      <c r="D65" s="80" t="s">
        <v>302</v>
      </c>
      <c r="E65" s="77" t="s">
        <v>303</v>
      </c>
      <c r="F65" s="72">
        <v>10</v>
      </c>
      <c r="G65" s="85">
        <v>1.1759999999999999</v>
      </c>
      <c r="H65" s="78">
        <f t="shared" si="8"/>
        <v>11.76</v>
      </c>
      <c r="I65" s="86">
        <f t="shared" si="9"/>
        <v>307994.40000000002</v>
      </c>
      <c r="J65" s="62" t="str">
        <f t="shared" si="14"/>
        <v>1K</v>
      </c>
      <c r="K65" s="72" t="s">
        <v>50</v>
      </c>
      <c r="L65" s="62" t="str">
        <f t="shared" si="15"/>
        <v>0.01%</v>
      </c>
      <c r="M65" s="72" t="str">
        <f t="shared" si="12"/>
        <v>0603</v>
      </c>
      <c r="N65" s="62" t="str">
        <f t="shared" si="13"/>
        <v>Resistor</v>
      </c>
      <c r="O65" s="62" t="s">
        <v>299</v>
      </c>
      <c r="P65" s="97" t="s">
        <v>26</v>
      </c>
      <c r="Q65" s="62"/>
    </row>
    <row r="66" spans="1:17" ht="17.25" customHeight="1" x14ac:dyDescent="0.25">
      <c r="A66" s="58">
        <v>65</v>
      </c>
      <c r="B66" s="80" t="s">
        <v>304</v>
      </c>
      <c r="C66" s="80" t="s">
        <v>305</v>
      </c>
      <c r="D66" s="80" t="s">
        <v>306</v>
      </c>
      <c r="E66" s="77" t="s">
        <v>307</v>
      </c>
      <c r="F66" s="72">
        <v>10</v>
      </c>
      <c r="G66" s="85">
        <v>1.1759999999999999</v>
      </c>
      <c r="H66" s="78">
        <f t="shared" ref="H66:H97" si="16">G66*F66</f>
        <v>11.76</v>
      </c>
      <c r="I66" s="86">
        <f t="shared" si="9"/>
        <v>307994.40000000002</v>
      </c>
      <c r="J66" s="62" t="str">
        <f t="shared" si="14"/>
        <v>499</v>
      </c>
      <c r="K66" s="72" t="s">
        <v>50</v>
      </c>
      <c r="L66" s="62" t="str">
        <f t="shared" si="15"/>
        <v>0.01%</v>
      </c>
      <c r="M66" s="72" t="str">
        <f t="shared" si="12"/>
        <v>0603</v>
      </c>
      <c r="N66" s="62" t="str">
        <f t="shared" si="13"/>
        <v>Resistor</v>
      </c>
      <c r="O66" s="62" t="s">
        <v>299</v>
      </c>
      <c r="P66" s="97" t="s">
        <v>26</v>
      </c>
      <c r="Q66" s="62"/>
    </row>
    <row r="67" spans="1:17" ht="17.25" customHeight="1" x14ac:dyDescent="0.25">
      <c r="A67" s="58">
        <v>66</v>
      </c>
      <c r="B67" s="80" t="s">
        <v>308</v>
      </c>
      <c r="C67" s="80" t="s">
        <v>309</v>
      </c>
      <c r="D67" s="80" t="s">
        <v>310</v>
      </c>
      <c r="E67" s="77" t="s">
        <v>311</v>
      </c>
      <c r="F67" s="72">
        <v>10</v>
      </c>
      <c r="G67" s="85">
        <v>0.48159999999999997</v>
      </c>
      <c r="H67" s="78">
        <f t="shared" si="16"/>
        <v>4.8159999999999998</v>
      </c>
      <c r="I67" s="86">
        <f t="shared" si="9"/>
        <v>126131.04</v>
      </c>
      <c r="J67" s="62" t="str">
        <f t="shared" si="14"/>
        <v>51</v>
      </c>
      <c r="K67" s="72" t="s">
        <v>50</v>
      </c>
      <c r="L67" s="62" t="str">
        <f t="shared" si="15"/>
        <v>0.05%</v>
      </c>
      <c r="M67" s="81" t="str">
        <f t="shared" si="12"/>
        <v>0805</v>
      </c>
      <c r="N67" s="62" t="str">
        <f t="shared" si="13"/>
        <v>Resistor</v>
      </c>
      <c r="O67" s="62" t="s">
        <v>299</v>
      </c>
      <c r="P67" s="97" t="s">
        <v>26</v>
      </c>
      <c r="Q67" s="62"/>
    </row>
    <row r="68" spans="1:17" x14ac:dyDescent="0.25">
      <c r="A68" s="58">
        <v>67</v>
      </c>
      <c r="B68" s="80" t="s">
        <v>312</v>
      </c>
      <c r="C68" s="80" t="s">
        <v>313</v>
      </c>
      <c r="D68" s="80" t="s">
        <v>314</v>
      </c>
      <c r="E68" s="77" t="s">
        <v>315</v>
      </c>
      <c r="F68" s="72">
        <v>10</v>
      </c>
      <c r="G68" s="85">
        <v>0.3412</v>
      </c>
      <c r="H68" s="78">
        <f t="shared" si="16"/>
        <v>3.4119999999999999</v>
      </c>
      <c r="I68" s="86">
        <f t="shared" si="9"/>
        <v>89360.28</v>
      </c>
      <c r="J68" s="62" t="str">
        <f t="shared" si="14"/>
        <v>100K</v>
      </c>
      <c r="K68" s="72" t="s">
        <v>50</v>
      </c>
      <c r="L68" s="62" t="str">
        <f t="shared" si="15"/>
        <v>0.05%</v>
      </c>
      <c r="M68" s="62" t="str">
        <f t="shared" si="12"/>
        <v>0603</v>
      </c>
      <c r="N68" s="62" t="str">
        <f t="shared" si="13"/>
        <v>Resistor</v>
      </c>
      <c r="O68" s="62" t="s">
        <v>299</v>
      </c>
      <c r="P68" s="97" t="s">
        <v>26</v>
      </c>
      <c r="Q68" s="62"/>
    </row>
    <row r="69" spans="1:17" x14ac:dyDescent="0.25">
      <c r="A69" s="58">
        <v>68</v>
      </c>
      <c r="B69" s="80" t="s">
        <v>316</v>
      </c>
      <c r="C69" s="80" t="s">
        <v>317</v>
      </c>
      <c r="D69" s="80" t="s">
        <v>318</v>
      </c>
      <c r="E69" s="77" t="s">
        <v>319</v>
      </c>
      <c r="F69" s="72">
        <v>20</v>
      </c>
      <c r="G69" s="85">
        <v>0.42080000000000001</v>
      </c>
      <c r="H69" s="78">
        <f t="shared" si="16"/>
        <v>8.4160000000000004</v>
      </c>
      <c r="I69" s="86">
        <f t="shared" si="9"/>
        <v>220415.04</v>
      </c>
      <c r="J69" s="62" t="str">
        <f t="shared" si="14"/>
        <v>10K</v>
      </c>
      <c r="K69" s="72" t="s">
        <v>50</v>
      </c>
      <c r="L69" s="62" t="str">
        <f t="shared" si="15"/>
        <v>0.05%</v>
      </c>
      <c r="M69" s="62" t="str">
        <f t="shared" si="12"/>
        <v>0603</v>
      </c>
      <c r="N69" s="62" t="str">
        <f t="shared" si="13"/>
        <v>Resistor</v>
      </c>
      <c r="O69" s="62" t="s">
        <v>299</v>
      </c>
      <c r="P69" s="97" t="s">
        <v>26</v>
      </c>
      <c r="Q69" s="62"/>
    </row>
    <row r="70" spans="1:17" x14ac:dyDescent="0.25">
      <c r="A70" s="58">
        <v>69</v>
      </c>
      <c r="B70" s="80" t="s">
        <v>320</v>
      </c>
      <c r="C70" s="80" t="s">
        <v>321</v>
      </c>
      <c r="D70" s="80" t="s">
        <v>322</v>
      </c>
      <c r="E70" s="77" t="s">
        <v>323</v>
      </c>
      <c r="F70" s="72">
        <v>10</v>
      </c>
      <c r="G70" s="85">
        <v>0.44040000000000001</v>
      </c>
      <c r="H70" s="78">
        <f t="shared" si="16"/>
        <v>4.4039999999999999</v>
      </c>
      <c r="I70" s="86">
        <f t="shared" si="9"/>
        <v>115340.76</v>
      </c>
      <c r="J70" s="62" t="str">
        <f t="shared" si="14"/>
        <v>47</v>
      </c>
      <c r="K70" s="72" t="s">
        <v>50</v>
      </c>
      <c r="L70" s="62" t="str">
        <f t="shared" si="15"/>
        <v>0.05%</v>
      </c>
      <c r="M70" s="62" t="str">
        <f t="shared" si="12"/>
        <v>0603</v>
      </c>
      <c r="N70" s="62" t="str">
        <f t="shared" si="13"/>
        <v>Resistor</v>
      </c>
      <c r="O70" s="62" t="s">
        <v>299</v>
      </c>
      <c r="P70" s="97" t="s">
        <v>26</v>
      </c>
      <c r="Q70" s="62"/>
    </row>
    <row r="71" spans="1:17" x14ac:dyDescent="0.25">
      <c r="A71" s="58">
        <v>70</v>
      </c>
      <c r="B71" s="80" t="s">
        <v>324</v>
      </c>
      <c r="C71" s="80" t="s">
        <v>325</v>
      </c>
      <c r="D71" s="80" t="s">
        <v>326</v>
      </c>
      <c r="E71" s="77" t="s">
        <v>327</v>
      </c>
      <c r="F71" s="72">
        <v>15</v>
      </c>
      <c r="G71" s="85">
        <v>0.65</v>
      </c>
      <c r="H71" s="78">
        <f t="shared" si="16"/>
        <v>9.75</v>
      </c>
      <c r="I71" s="86">
        <f t="shared" si="9"/>
        <v>255352.5</v>
      </c>
      <c r="J71" s="62" t="str">
        <f t="shared" si="14"/>
        <v>10</v>
      </c>
      <c r="K71" s="72" t="s">
        <v>50</v>
      </c>
      <c r="L71" s="62" t="str">
        <f t="shared" si="15"/>
        <v>0.05%</v>
      </c>
      <c r="M71" s="62" t="str">
        <f t="shared" si="12"/>
        <v>0603</v>
      </c>
      <c r="N71" s="62" t="str">
        <f t="shared" si="13"/>
        <v>Resistor</v>
      </c>
      <c r="O71" s="62" t="s">
        <v>299</v>
      </c>
      <c r="P71" s="97" t="s">
        <v>26</v>
      </c>
      <c r="Q71" s="62"/>
    </row>
    <row r="72" spans="1:17" hidden="1" x14ac:dyDescent="0.25">
      <c r="A72" s="58">
        <v>71</v>
      </c>
      <c r="B72" s="80" t="s">
        <v>328</v>
      </c>
      <c r="C72" s="80" t="s">
        <v>329</v>
      </c>
      <c r="D72" s="80" t="s">
        <v>330</v>
      </c>
      <c r="E72" s="77" t="s">
        <v>331</v>
      </c>
      <c r="F72" s="72">
        <v>25</v>
      </c>
      <c r="G72" s="85">
        <v>0.109</v>
      </c>
      <c r="H72" s="78">
        <f t="shared" si="16"/>
        <v>2.7250000000000001</v>
      </c>
      <c r="I72" s="86">
        <f t="shared" si="9"/>
        <v>71367.75</v>
      </c>
      <c r="J72" s="62" t="str">
        <f>_xlfn.TEXTBEFORE(_xlfn.TEXTAFTER(D72, "CER "), "F")</f>
        <v>1P</v>
      </c>
      <c r="K72" s="72" t="s">
        <v>103</v>
      </c>
      <c r="L72" s="92">
        <v>0.05</v>
      </c>
      <c r="M72" s="62" t="str">
        <f t="shared" si="12"/>
        <v>0603</v>
      </c>
      <c r="N72" s="62" t="str">
        <f t="shared" si="13"/>
        <v>Capacitor</v>
      </c>
      <c r="O72" s="62" t="s">
        <v>299</v>
      </c>
      <c r="P72" s="97" t="s">
        <v>26</v>
      </c>
      <c r="Q72" s="62"/>
    </row>
    <row r="73" spans="1:17" hidden="1" x14ac:dyDescent="0.25">
      <c r="A73" s="58">
        <v>72</v>
      </c>
      <c r="B73" s="80" t="s">
        <v>332</v>
      </c>
      <c r="C73" s="80" t="s">
        <v>333</v>
      </c>
      <c r="D73" s="80" t="s">
        <v>334</v>
      </c>
      <c r="E73" s="94" t="s">
        <v>335</v>
      </c>
      <c r="F73" s="96">
        <v>4</v>
      </c>
      <c r="G73" s="89">
        <v>8.01</v>
      </c>
      <c r="H73" s="90">
        <f t="shared" si="16"/>
        <v>32.04</v>
      </c>
      <c r="I73" s="91">
        <f t="shared" si="9"/>
        <v>839127.6</v>
      </c>
      <c r="J73" s="72" t="s">
        <v>21</v>
      </c>
      <c r="K73" s="62" t="s">
        <v>22</v>
      </c>
      <c r="L73" s="92" t="s">
        <v>21</v>
      </c>
      <c r="M73" s="84" t="s">
        <v>531</v>
      </c>
      <c r="N73" s="72" t="s">
        <v>24</v>
      </c>
      <c r="O73" s="62" t="s">
        <v>299</v>
      </c>
      <c r="P73" s="97" t="s">
        <v>26</v>
      </c>
      <c r="Q73" s="58"/>
    </row>
    <row r="74" spans="1:17" hidden="1" x14ac:dyDescent="0.25">
      <c r="A74" s="58">
        <v>73</v>
      </c>
      <c r="B74" s="80" t="s">
        <v>336</v>
      </c>
      <c r="C74" s="80" t="s">
        <v>337</v>
      </c>
      <c r="D74" s="80" t="s">
        <v>338</v>
      </c>
      <c r="E74" s="94" t="s">
        <v>339</v>
      </c>
      <c r="F74" s="96">
        <v>3</v>
      </c>
      <c r="G74" s="89">
        <v>4.1900000000000004</v>
      </c>
      <c r="H74" s="70">
        <f t="shared" si="16"/>
        <v>12.57</v>
      </c>
      <c r="I74" s="91">
        <f t="shared" si="9"/>
        <v>329208.3</v>
      </c>
      <c r="J74" s="72" t="s">
        <v>21</v>
      </c>
      <c r="K74" s="62" t="s">
        <v>22</v>
      </c>
      <c r="L74" s="92" t="s">
        <v>21</v>
      </c>
      <c r="M74" s="64"/>
      <c r="N74" s="72" t="s">
        <v>187</v>
      </c>
      <c r="O74" s="62" t="s">
        <v>299</v>
      </c>
      <c r="P74" s="97" t="s">
        <v>26</v>
      </c>
      <c r="Q74" s="58"/>
    </row>
    <row r="75" spans="1:17" hidden="1" x14ac:dyDescent="0.25">
      <c r="A75" s="58">
        <v>74</v>
      </c>
      <c r="B75" s="80" t="s">
        <v>340</v>
      </c>
      <c r="C75" s="80" t="s">
        <v>341</v>
      </c>
      <c r="D75" s="80" t="s">
        <v>342</v>
      </c>
      <c r="E75" s="69" t="s">
        <v>343</v>
      </c>
      <c r="F75" s="96">
        <v>3</v>
      </c>
      <c r="G75" s="89">
        <v>2.94</v>
      </c>
      <c r="H75" s="70">
        <f t="shared" si="16"/>
        <v>8.82</v>
      </c>
      <c r="I75" s="71">
        <f t="shared" si="9"/>
        <v>230995.80000000002</v>
      </c>
      <c r="J75" s="72" t="s">
        <v>21</v>
      </c>
      <c r="K75" s="62" t="s">
        <v>22</v>
      </c>
      <c r="L75" s="92" t="s">
        <v>21</v>
      </c>
      <c r="M75" s="64"/>
      <c r="N75" s="72" t="s">
        <v>187</v>
      </c>
      <c r="O75" s="62" t="s">
        <v>299</v>
      </c>
      <c r="P75" s="97" t="s">
        <v>26</v>
      </c>
      <c r="Q75" s="58"/>
    </row>
    <row r="76" spans="1:17" hidden="1" x14ac:dyDescent="0.25">
      <c r="A76" s="58">
        <v>75</v>
      </c>
      <c r="B76" s="68" t="s">
        <v>344</v>
      </c>
      <c r="C76" s="68" t="s">
        <v>345</v>
      </c>
      <c r="D76" s="68" t="s">
        <v>346</v>
      </c>
      <c r="E76" s="74" t="s">
        <v>347</v>
      </c>
      <c r="F76" s="62">
        <v>10</v>
      </c>
      <c r="G76" s="85">
        <v>2.5999999999999999E-2</v>
      </c>
      <c r="H76" s="75">
        <f t="shared" si="16"/>
        <v>0.26</v>
      </c>
      <c r="I76" s="76">
        <f t="shared" si="9"/>
        <v>6809.4000000000005</v>
      </c>
      <c r="J76" s="62" t="str">
        <f>_xlfn.TEXTBEFORE(_xlfn.TEXTAFTER(D76, "CER "), "F")</f>
        <v>1000P</v>
      </c>
      <c r="K76" s="72" t="s">
        <v>103</v>
      </c>
      <c r="L76" s="92">
        <v>0.01</v>
      </c>
      <c r="M76" s="62" t="str">
        <f t="shared" ref="M76:M81" si="17">RIGHT(TRIM(D76), 4)</f>
        <v>0603</v>
      </c>
      <c r="N76" s="62" t="str">
        <f t="shared" ref="N76:N81" si="18">IF(LEFT(D76,3)="RES", "Resistor", IF(LEFT(D76,3)="CAP", "Capacitor", "Other"))</f>
        <v>Capacitor</v>
      </c>
      <c r="O76" s="62" t="s">
        <v>299</v>
      </c>
      <c r="P76" s="97" t="s">
        <v>26</v>
      </c>
      <c r="Q76" s="62"/>
    </row>
    <row r="77" spans="1:17" x14ac:dyDescent="0.25">
      <c r="A77" s="58">
        <v>76</v>
      </c>
      <c r="B77" s="68" t="s">
        <v>348</v>
      </c>
      <c r="C77" s="68" t="s">
        <v>349</v>
      </c>
      <c r="D77" s="68" t="s">
        <v>350</v>
      </c>
      <c r="E77" s="74" t="s">
        <v>351</v>
      </c>
      <c r="F77" s="62">
        <v>10</v>
      </c>
      <c r="G77" s="85">
        <v>7.0000000000000007E-2</v>
      </c>
      <c r="H77" s="75">
        <f t="shared" si="16"/>
        <v>0.70000000000000007</v>
      </c>
      <c r="I77" s="76">
        <f t="shared" si="9"/>
        <v>18333</v>
      </c>
      <c r="J77" s="62" t="str">
        <f>TRIM(LEFT(SUBSTITUTE(TRIM(SUBSTITUTE(SUBSTITUTE(D77,"RES",""),"SMD",""))," ",REPT(" ",100)),100))</f>
        <v>22</v>
      </c>
      <c r="K77" s="72" t="s">
        <v>50</v>
      </c>
      <c r="L77" s="62" t="str">
        <f>_xlfn.TEXTAFTER(_xlfn.TEXTBEFORE(D77, "%"), " ", -1) &amp; "%"</f>
        <v>0.1%</v>
      </c>
      <c r="M77" s="62" t="str">
        <f t="shared" si="17"/>
        <v>0603</v>
      </c>
      <c r="N77" s="62" t="str">
        <f t="shared" si="18"/>
        <v>Resistor</v>
      </c>
      <c r="O77" s="62" t="s">
        <v>299</v>
      </c>
      <c r="P77" s="97" t="s">
        <v>26</v>
      </c>
      <c r="Q77" s="62"/>
    </row>
    <row r="78" spans="1:17" hidden="1" x14ac:dyDescent="0.25">
      <c r="A78" s="58">
        <v>77</v>
      </c>
      <c r="B78" s="68" t="s">
        <v>352</v>
      </c>
      <c r="C78" s="68" t="s">
        <v>353</v>
      </c>
      <c r="D78" s="68" t="s">
        <v>354</v>
      </c>
      <c r="E78" s="74" t="s">
        <v>355</v>
      </c>
      <c r="F78" s="62">
        <v>25</v>
      </c>
      <c r="G78" s="85">
        <v>8.2000000000000003E-2</v>
      </c>
      <c r="H78" s="75">
        <f t="shared" si="16"/>
        <v>2.0500000000000003</v>
      </c>
      <c r="I78" s="76">
        <f t="shared" si="9"/>
        <v>53689.500000000007</v>
      </c>
      <c r="J78" s="62" t="str">
        <f>_xlfn.TEXTBEFORE(_xlfn.TEXTAFTER(D78, "CER "), "F")</f>
        <v>560P</v>
      </c>
      <c r="K78" s="72" t="s">
        <v>103</v>
      </c>
      <c r="L78" s="92">
        <v>0.01</v>
      </c>
      <c r="M78" s="62" t="str">
        <f t="shared" si="17"/>
        <v>0603</v>
      </c>
      <c r="N78" s="62" t="str">
        <f t="shared" si="18"/>
        <v>Capacitor</v>
      </c>
      <c r="O78" s="62" t="s">
        <v>299</v>
      </c>
      <c r="P78" s="73" t="s">
        <v>26</v>
      </c>
      <c r="Q78" s="196" t="s">
        <v>356</v>
      </c>
    </row>
    <row r="79" spans="1:17" hidden="1" x14ac:dyDescent="0.25">
      <c r="A79" s="58">
        <v>78</v>
      </c>
      <c r="B79" s="68" t="s">
        <v>357</v>
      </c>
      <c r="C79" s="68" t="s">
        <v>358</v>
      </c>
      <c r="D79" s="68" t="s">
        <v>359</v>
      </c>
      <c r="E79" s="74" t="s">
        <v>360</v>
      </c>
      <c r="F79" s="62">
        <v>20</v>
      </c>
      <c r="G79" s="85">
        <v>0.71299999999999997</v>
      </c>
      <c r="H79" s="75">
        <f t="shared" si="16"/>
        <v>14.26</v>
      </c>
      <c r="I79" s="76">
        <f t="shared" si="9"/>
        <v>373469.4</v>
      </c>
      <c r="J79" s="62" t="str">
        <f>_xlfn.TEXTBEFORE(_xlfn.TEXTAFTER(D79, "CER "), "F")</f>
        <v>160P</v>
      </c>
      <c r="K79" s="72" t="s">
        <v>103</v>
      </c>
      <c r="L79" s="92">
        <v>0.01</v>
      </c>
      <c r="M79" s="62" t="str">
        <f t="shared" si="17"/>
        <v>0603</v>
      </c>
      <c r="N79" s="62" t="str">
        <f t="shared" si="18"/>
        <v>Capacitor</v>
      </c>
      <c r="O79" s="62" t="s">
        <v>299</v>
      </c>
      <c r="P79" s="73" t="s">
        <v>26</v>
      </c>
      <c r="Q79" s="196"/>
    </row>
    <row r="80" spans="1:17" hidden="1" x14ac:dyDescent="0.25">
      <c r="A80" s="58">
        <v>79</v>
      </c>
      <c r="B80" s="68" t="s">
        <v>361</v>
      </c>
      <c r="C80" s="68" t="s">
        <v>362</v>
      </c>
      <c r="D80" s="68" t="s">
        <v>363</v>
      </c>
      <c r="E80" s="74" t="s">
        <v>364</v>
      </c>
      <c r="F80" s="62">
        <v>10</v>
      </c>
      <c r="G80" s="85">
        <v>0.11799999999999999</v>
      </c>
      <c r="H80" s="75">
        <f t="shared" si="16"/>
        <v>1.18</v>
      </c>
      <c r="I80" s="76">
        <f t="shared" si="9"/>
        <v>30904.199999999997</v>
      </c>
      <c r="J80" s="62" t="str">
        <f>_xlfn.TEXTBEFORE(_xlfn.TEXTAFTER(D80, "CER "), "F")</f>
        <v>39P</v>
      </c>
      <c r="K80" s="72" t="s">
        <v>103</v>
      </c>
      <c r="L80" s="92">
        <v>0.01</v>
      </c>
      <c r="M80" s="62" t="str">
        <f t="shared" si="17"/>
        <v>0603</v>
      </c>
      <c r="N80" s="62" t="str">
        <f t="shared" si="18"/>
        <v>Capacitor</v>
      </c>
      <c r="O80" s="62" t="s">
        <v>299</v>
      </c>
      <c r="P80" s="73" t="s">
        <v>26</v>
      </c>
      <c r="Q80" s="149"/>
    </row>
    <row r="81" spans="1:17" hidden="1" x14ac:dyDescent="0.25">
      <c r="A81" s="58">
        <v>80</v>
      </c>
      <c r="B81" s="68" t="s">
        <v>365</v>
      </c>
      <c r="C81" s="68" t="s">
        <v>366</v>
      </c>
      <c r="D81" s="68" t="s">
        <v>367</v>
      </c>
      <c r="E81" s="74" t="s">
        <v>368</v>
      </c>
      <c r="F81" s="62">
        <v>10</v>
      </c>
      <c r="G81" s="85">
        <v>0.59199999999999997</v>
      </c>
      <c r="H81" s="75">
        <f t="shared" si="16"/>
        <v>5.92</v>
      </c>
      <c r="I81" s="76">
        <f t="shared" si="9"/>
        <v>155044.79999999999</v>
      </c>
      <c r="J81" s="62" t="str">
        <f>_xlfn.TEXTBEFORE(_xlfn.TEXTAFTER(D81, "CER "), "F")</f>
        <v>680P</v>
      </c>
      <c r="K81" s="72" t="s">
        <v>103</v>
      </c>
      <c r="L81" s="92">
        <v>0.01</v>
      </c>
      <c r="M81" s="62" t="str">
        <f t="shared" si="17"/>
        <v>0603</v>
      </c>
      <c r="N81" s="62" t="str">
        <f t="shared" si="18"/>
        <v>Capacitor</v>
      </c>
      <c r="O81" s="62" t="s">
        <v>299</v>
      </c>
      <c r="P81" s="73" t="s">
        <v>26</v>
      </c>
      <c r="Q81" s="62"/>
    </row>
    <row r="82" spans="1:17" hidden="1" x14ac:dyDescent="0.25">
      <c r="A82" s="58">
        <v>81</v>
      </c>
      <c r="B82" s="68" t="s">
        <v>369</v>
      </c>
      <c r="C82" s="68" t="s">
        <v>370</v>
      </c>
      <c r="D82" s="68" t="s">
        <v>371</v>
      </c>
      <c r="E82" s="69" t="s">
        <v>372</v>
      </c>
      <c r="F82" s="58">
        <v>10</v>
      </c>
      <c r="G82" s="89">
        <v>0.115</v>
      </c>
      <c r="H82" s="70">
        <f t="shared" si="16"/>
        <v>1.1500000000000001</v>
      </c>
      <c r="I82" s="71">
        <f t="shared" si="9"/>
        <v>30118.500000000004</v>
      </c>
      <c r="J82" s="62" t="s">
        <v>373</v>
      </c>
      <c r="K82" s="84" t="s">
        <v>161</v>
      </c>
      <c r="L82" s="92">
        <v>0.05</v>
      </c>
      <c r="M82" s="64" t="s">
        <v>162</v>
      </c>
      <c r="N82" s="84" t="s">
        <v>163</v>
      </c>
      <c r="O82" s="62" t="s">
        <v>299</v>
      </c>
      <c r="P82" s="73" t="s">
        <v>26</v>
      </c>
      <c r="Q82" s="58"/>
    </row>
    <row r="83" spans="1:17" hidden="1" x14ac:dyDescent="0.25">
      <c r="A83" s="58">
        <v>82</v>
      </c>
      <c r="B83" s="68" t="s">
        <v>374</v>
      </c>
      <c r="C83" s="68" t="s">
        <v>375</v>
      </c>
      <c r="D83" s="68" t="s">
        <v>376</v>
      </c>
      <c r="E83" s="69" t="s">
        <v>377</v>
      </c>
      <c r="F83" s="58">
        <v>10</v>
      </c>
      <c r="G83" s="89">
        <v>0.115</v>
      </c>
      <c r="H83" s="70">
        <f t="shared" si="16"/>
        <v>1.1500000000000001</v>
      </c>
      <c r="I83" s="71">
        <f t="shared" ref="I83:I91" si="19">H83*26190</f>
        <v>30118.500000000004</v>
      </c>
      <c r="J83" s="62" t="s">
        <v>378</v>
      </c>
      <c r="K83" s="84" t="s">
        <v>161</v>
      </c>
      <c r="L83" s="92">
        <v>0.05</v>
      </c>
      <c r="M83" s="64" t="s">
        <v>162</v>
      </c>
      <c r="N83" s="84" t="s">
        <v>163</v>
      </c>
      <c r="O83" s="62" t="s">
        <v>299</v>
      </c>
      <c r="P83" s="73" t="s">
        <v>26</v>
      </c>
      <c r="Q83" s="58"/>
    </row>
    <row r="84" spans="1:17" hidden="1" x14ac:dyDescent="0.25">
      <c r="A84" s="58">
        <v>83</v>
      </c>
      <c r="B84" s="68" t="s">
        <v>379</v>
      </c>
      <c r="C84" s="68" t="s">
        <v>380</v>
      </c>
      <c r="D84" s="68" t="s">
        <v>381</v>
      </c>
      <c r="E84" s="69" t="s">
        <v>382</v>
      </c>
      <c r="F84" s="58">
        <v>10</v>
      </c>
      <c r="G84" s="89">
        <v>0.115</v>
      </c>
      <c r="H84" s="70">
        <f t="shared" si="16"/>
        <v>1.1500000000000001</v>
      </c>
      <c r="I84" s="71">
        <f t="shared" si="19"/>
        <v>30118.500000000004</v>
      </c>
      <c r="J84" s="62" t="s">
        <v>383</v>
      </c>
      <c r="K84" s="84" t="s">
        <v>161</v>
      </c>
      <c r="L84" s="92">
        <v>0.05</v>
      </c>
      <c r="M84" s="64" t="s">
        <v>162</v>
      </c>
      <c r="N84" s="84" t="s">
        <v>163</v>
      </c>
      <c r="O84" s="62" t="s">
        <v>299</v>
      </c>
      <c r="P84" s="73" t="s">
        <v>26</v>
      </c>
      <c r="Q84" s="58"/>
    </row>
    <row r="85" spans="1:17" hidden="1" x14ac:dyDescent="0.25">
      <c r="A85" s="58">
        <v>84</v>
      </c>
      <c r="B85" s="68" t="s">
        <v>384</v>
      </c>
      <c r="C85" s="68" t="s">
        <v>385</v>
      </c>
      <c r="D85" s="68" t="s">
        <v>386</v>
      </c>
      <c r="E85" s="74" t="s">
        <v>387</v>
      </c>
      <c r="F85" s="62">
        <v>10</v>
      </c>
      <c r="G85" s="85">
        <v>0.13600000000000001</v>
      </c>
      <c r="H85" s="75">
        <f t="shared" si="16"/>
        <v>1.36</v>
      </c>
      <c r="I85" s="76">
        <f t="shared" si="19"/>
        <v>35618.400000000001</v>
      </c>
      <c r="J85" s="62" t="str">
        <f t="shared" ref="J85:J92" si="20">_xlfn.TEXTBEFORE(_xlfn.TEXTAFTER(D85, "CER "), "F")</f>
        <v>200P</v>
      </c>
      <c r="K85" s="72" t="s">
        <v>103</v>
      </c>
      <c r="L85" s="92">
        <v>0.01</v>
      </c>
      <c r="M85" s="62" t="str">
        <f t="shared" ref="M85:M105" si="21">RIGHT(TRIM(D85), 4)</f>
        <v>0603</v>
      </c>
      <c r="N85" s="62" t="str">
        <f t="shared" ref="N85:N105" si="22">IF(LEFT(D85,3)="RES", "Resistor", IF(LEFT(D85,3)="CAP", "Capacitor", "Other"))</f>
        <v>Capacitor</v>
      </c>
      <c r="O85" s="62" t="s">
        <v>299</v>
      </c>
      <c r="P85" s="97" t="s">
        <v>26</v>
      </c>
      <c r="Q85" s="62"/>
    </row>
    <row r="86" spans="1:17" hidden="1" x14ac:dyDescent="0.25">
      <c r="A86" s="58">
        <v>85</v>
      </c>
      <c r="B86" s="68" t="s">
        <v>388</v>
      </c>
      <c r="C86" s="68" t="s">
        <v>389</v>
      </c>
      <c r="D86" s="68" t="s">
        <v>390</v>
      </c>
      <c r="E86" s="74" t="s">
        <v>391</v>
      </c>
      <c r="F86" s="62">
        <v>5</v>
      </c>
      <c r="G86" s="85">
        <v>1.1399999999999999</v>
      </c>
      <c r="H86" s="75">
        <f t="shared" si="16"/>
        <v>5.6999999999999993</v>
      </c>
      <c r="I86" s="76">
        <f t="shared" si="19"/>
        <v>149282.99999999997</v>
      </c>
      <c r="J86" s="62" t="str">
        <f t="shared" si="20"/>
        <v>390P</v>
      </c>
      <c r="K86" s="72" t="s">
        <v>103</v>
      </c>
      <c r="L86" s="92">
        <v>0.01</v>
      </c>
      <c r="M86" s="62" t="str">
        <f t="shared" si="21"/>
        <v>0603</v>
      </c>
      <c r="N86" s="62" t="str">
        <f t="shared" si="22"/>
        <v>Capacitor</v>
      </c>
      <c r="O86" s="62" t="s">
        <v>299</v>
      </c>
      <c r="P86" s="97" t="s">
        <v>26</v>
      </c>
      <c r="Q86" s="196" t="s">
        <v>392</v>
      </c>
    </row>
    <row r="87" spans="1:17" hidden="1" x14ac:dyDescent="0.25">
      <c r="A87" s="58">
        <v>86</v>
      </c>
      <c r="B87" s="68" t="s">
        <v>393</v>
      </c>
      <c r="C87" s="68" t="s">
        <v>394</v>
      </c>
      <c r="D87" s="68" t="s">
        <v>395</v>
      </c>
      <c r="E87" s="74" t="s">
        <v>396</v>
      </c>
      <c r="F87" s="62">
        <v>50</v>
      </c>
      <c r="G87" s="85">
        <v>1.9199999999999998E-2</v>
      </c>
      <c r="H87" s="75">
        <f t="shared" si="16"/>
        <v>0.96</v>
      </c>
      <c r="I87" s="76">
        <f t="shared" si="19"/>
        <v>25142.399999999998</v>
      </c>
      <c r="J87" s="62" t="str">
        <f t="shared" si="20"/>
        <v>10P</v>
      </c>
      <c r="K87" s="72" t="s">
        <v>103</v>
      </c>
      <c r="L87" s="92">
        <v>2.5000000000000001E-3</v>
      </c>
      <c r="M87" s="62" t="str">
        <f t="shared" si="21"/>
        <v>0603</v>
      </c>
      <c r="N87" s="62" t="str">
        <f t="shared" si="22"/>
        <v>Capacitor</v>
      </c>
      <c r="O87" s="62" t="s">
        <v>299</v>
      </c>
      <c r="P87" s="97" t="s">
        <v>26</v>
      </c>
      <c r="Q87" s="196"/>
    </row>
    <row r="88" spans="1:17" hidden="1" x14ac:dyDescent="0.25">
      <c r="A88" s="58">
        <v>87</v>
      </c>
      <c r="B88" s="118" t="s">
        <v>397</v>
      </c>
      <c r="C88" s="119" t="s">
        <v>398</v>
      </c>
      <c r="D88" s="119" t="s">
        <v>399</v>
      </c>
      <c r="E88" s="120" t="s">
        <v>400</v>
      </c>
      <c r="F88" s="119">
        <v>10</v>
      </c>
      <c r="G88" s="122">
        <v>0.23</v>
      </c>
      <c r="H88" s="123">
        <v>2.2999999999999998</v>
      </c>
      <c r="I88" s="119" t="s">
        <v>401</v>
      </c>
      <c r="J88" s="119" t="s">
        <v>402</v>
      </c>
      <c r="K88" s="121" t="s">
        <v>103</v>
      </c>
      <c r="L88" s="124">
        <v>0.02</v>
      </c>
      <c r="M88" s="119">
        <v>603</v>
      </c>
      <c r="N88" s="119" t="s">
        <v>403</v>
      </c>
      <c r="O88" s="119" t="s">
        <v>299</v>
      </c>
      <c r="P88" s="97" t="s">
        <v>26</v>
      </c>
      <c r="Q88" s="196" t="s">
        <v>404</v>
      </c>
    </row>
    <row r="89" spans="1:17" hidden="1" x14ac:dyDescent="0.25">
      <c r="A89" s="58">
        <v>88</v>
      </c>
      <c r="B89" s="68" t="s">
        <v>405</v>
      </c>
      <c r="C89" s="68" t="s">
        <v>406</v>
      </c>
      <c r="D89" s="68" t="s">
        <v>407</v>
      </c>
      <c r="E89" s="74" t="s">
        <v>408</v>
      </c>
      <c r="F89" s="62">
        <v>10</v>
      </c>
      <c r="G89" s="85">
        <v>1.01</v>
      </c>
      <c r="H89" s="75">
        <f t="shared" si="16"/>
        <v>10.1</v>
      </c>
      <c r="I89" s="76">
        <f t="shared" si="19"/>
        <v>264519</v>
      </c>
      <c r="J89" s="62" t="str">
        <f t="shared" si="20"/>
        <v>120P</v>
      </c>
      <c r="K89" s="72" t="s">
        <v>103</v>
      </c>
      <c r="L89" s="92">
        <v>0.01</v>
      </c>
      <c r="M89" s="62" t="str">
        <f t="shared" si="21"/>
        <v>0603</v>
      </c>
      <c r="N89" s="62" t="str">
        <f t="shared" si="22"/>
        <v>Capacitor</v>
      </c>
      <c r="O89" s="62" t="s">
        <v>299</v>
      </c>
      <c r="P89" s="97" t="s">
        <v>26</v>
      </c>
      <c r="Q89" s="196"/>
    </row>
    <row r="90" spans="1:17" hidden="1" x14ac:dyDescent="0.25">
      <c r="A90" s="58">
        <v>89</v>
      </c>
      <c r="B90" s="68" t="s">
        <v>409</v>
      </c>
      <c r="C90" s="68" t="s">
        <v>410</v>
      </c>
      <c r="D90" s="68" t="s">
        <v>411</v>
      </c>
      <c r="E90" s="74" t="s">
        <v>412</v>
      </c>
      <c r="F90" s="62">
        <v>10</v>
      </c>
      <c r="G90" s="85">
        <v>8.5999999999999993E-2</v>
      </c>
      <c r="H90" s="75">
        <f t="shared" si="16"/>
        <v>0.85999999999999988</v>
      </c>
      <c r="I90" s="76">
        <f t="shared" si="19"/>
        <v>22523.399999999998</v>
      </c>
      <c r="J90" s="62" t="str">
        <f t="shared" si="20"/>
        <v>82P</v>
      </c>
      <c r="K90" s="72" t="s">
        <v>103</v>
      </c>
      <c r="L90" s="92">
        <v>0.01</v>
      </c>
      <c r="M90" s="62" t="str">
        <f t="shared" si="21"/>
        <v>0603</v>
      </c>
      <c r="N90" s="62" t="str">
        <f t="shared" si="22"/>
        <v>Capacitor</v>
      </c>
      <c r="O90" s="62" t="s">
        <v>299</v>
      </c>
      <c r="P90" s="97" t="s">
        <v>26</v>
      </c>
      <c r="Q90" s="62"/>
    </row>
    <row r="91" spans="1:17" hidden="1" x14ac:dyDescent="0.25">
      <c r="A91" s="58">
        <v>90</v>
      </c>
      <c r="B91" s="68" t="s">
        <v>413</v>
      </c>
      <c r="C91" s="68" t="s">
        <v>414</v>
      </c>
      <c r="D91" s="68" t="s">
        <v>415</v>
      </c>
      <c r="E91" s="74" t="s">
        <v>416</v>
      </c>
      <c r="F91" s="62">
        <v>10</v>
      </c>
      <c r="G91" s="85">
        <v>0.32200000000000001</v>
      </c>
      <c r="H91" s="75">
        <f t="shared" si="16"/>
        <v>3.22</v>
      </c>
      <c r="I91" s="76">
        <f t="shared" si="19"/>
        <v>84331.8</v>
      </c>
      <c r="J91" s="62" t="str">
        <f t="shared" si="20"/>
        <v>220P</v>
      </c>
      <c r="K91" s="72" t="s">
        <v>103</v>
      </c>
      <c r="L91" s="92">
        <v>0.01</v>
      </c>
      <c r="M91" s="62" t="str">
        <f t="shared" si="21"/>
        <v>0603</v>
      </c>
      <c r="N91" s="62" t="str">
        <f t="shared" si="22"/>
        <v>Capacitor</v>
      </c>
      <c r="O91" s="62" t="s">
        <v>299</v>
      </c>
      <c r="P91" s="97" t="s">
        <v>26</v>
      </c>
      <c r="Q91" s="62"/>
    </row>
    <row r="92" spans="1:17" hidden="1" x14ac:dyDescent="0.25">
      <c r="A92" s="58">
        <v>91</v>
      </c>
      <c r="B92" s="68" t="s">
        <v>417</v>
      </c>
      <c r="C92" s="68" t="s">
        <v>418</v>
      </c>
      <c r="D92" s="68" t="s">
        <v>419</v>
      </c>
      <c r="E92" s="74" t="s">
        <v>420</v>
      </c>
      <c r="F92" s="62">
        <v>10</v>
      </c>
      <c r="G92" s="85">
        <v>0.77</v>
      </c>
      <c r="H92" s="75">
        <f t="shared" si="16"/>
        <v>7.7</v>
      </c>
      <c r="I92" s="76">
        <f t="shared" ref="I92:I104" si="23">H92*26190</f>
        <v>201663</v>
      </c>
      <c r="J92" s="62" t="str">
        <f t="shared" si="20"/>
        <v>0.047U</v>
      </c>
      <c r="K92" s="72" t="s">
        <v>103</v>
      </c>
      <c r="L92" s="92">
        <v>0.01</v>
      </c>
      <c r="M92" s="81" t="str">
        <f t="shared" si="21"/>
        <v>0805</v>
      </c>
      <c r="N92" s="62" t="str">
        <f t="shared" si="22"/>
        <v>Capacitor</v>
      </c>
      <c r="O92" s="62" t="s">
        <v>299</v>
      </c>
      <c r="P92" s="97" t="s">
        <v>26</v>
      </c>
      <c r="Q92" s="62"/>
    </row>
    <row r="93" spans="1:17" x14ac:dyDescent="0.25">
      <c r="A93" s="58">
        <v>92</v>
      </c>
      <c r="B93" s="68" t="s">
        <v>421</v>
      </c>
      <c r="C93" s="68" t="s">
        <v>422</v>
      </c>
      <c r="D93" s="68" t="s">
        <v>423</v>
      </c>
      <c r="E93" s="74" t="s">
        <v>424</v>
      </c>
      <c r="F93" s="62">
        <v>10</v>
      </c>
      <c r="G93" s="85">
        <v>1.3340000000000001</v>
      </c>
      <c r="H93" s="75">
        <f t="shared" si="16"/>
        <v>13.34</v>
      </c>
      <c r="I93" s="76">
        <f t="shared" si="23"/>
        <v>349374.6</v>
      </c>
      <c r="J93" s="62" t="str">
        <f>TRIM(LEFT(SUBSTITUTE(TRIM(SUBSTITUTE(SUBSTITUTE(D93,"RES",""),"SMD",""))," ",REPT(" ",100)),100))</f>
        <v>100</v>
      </c>
      <c r="K93" s="62" t="s">
        <v>50</v>
      </c>
      <c r="L93" s="62" t="str">
        <f>_xlfn.TEXTAFTER(_xlfn.TEXTBEFORE(D93, "%"), " ", -1) &amp; "%"</f>
        <v>0.01%</v>
      </c>
      <c r="M93" s="62" t="str">
        <f t="shared" si="21"/>
        <v>0603</v>
      </c>
      <c r="N93" s="62" t="str">
        <f t="shared" si="22"/>
        <v>Resistor</v>
      </c>
      <c r="O93" s="62" t="s">
        <v>299</v>
      </c>
      <c r="P93" s="73" t="s">
        <v>26</v>
      </c>
      <c r="Q93" s="62"/>
    </row>
    <row r="94" spans="1:17" hidden="1" x14ac:dyDescent="0.25">
      <c r="A94" s="58">
        <v>93</v>
      </c>
      <c r="B94" s="68" t="s">
        <v>425</v>
      </c>
      <c r="C94" s="68" t="s">
        <v>426</v>
      </c>
      <c r="D94" s="80" t="s">
        <v>427</v>
      </c>
      <c r="E94" s="74" t="s">
        <v>428</v>
      </c>
      <c r="F94" s="62">
        <v>25</v>
      </c>
      <c r="G94" s="85">
        <v>0.222</v>
      </c>
      <c r="H94" s="75">
        <f t="shared" si="16"/>
        <v>5.55</v>
      </c>
      <c r="I94" s="76">
        <f t="shared" si="23"/>
        <v>145354.5</v>
      </c>
      <c r="J94" s="62" t="str">
        <f>_xlfn.TEXTBEFORE(_xlfn.TEXTAFTER(D94, "CER "), "F")</f>
        <v>1P</v>
      </c>
      <c r="K94" s="72" t="s">
        <v>103</v>
      </c>
      <c r="L94" s="92">
        <v>5.0000000000000001E-4</v>
      </c>
      <c r="M94" s="62" t="str">
        <f t="shared" si="21"/>
        <v>0603</v>
      </c>
      <c r="N94" s="62" t="str">
        <f t="shared" si="22"/>
        <v>Capacitor</v>
      </c>
      <c r="O94" s="62" t="s">
        <v>299</v>
      </c>
      <c r="P94" s="97" t="s">
        <v>26</v>
      </c>
      <c r="Q94" s="62"/>
    </row>
    <row r="95" spans="1:17" hidden="1" x14ac:dyDescent="0.25">
      <c r="A95" s="58">
        <v>94</v>
      </c>
      <c r="B95" s="68" t="s">
        <v>429</v>
      </c>
      <c r="C95" s="68" t="s">
        <v>430</v>
      </c>
      <c r="D95" s="68" t="s">
        <v>431</v>
      </c>
      <c r="E95" s="98" t="s">
        <v>432</v>
      </c>
      <c r="F95" s="62">
        <v>10</v>
      </c>
      <c r="G95" s="85">
        <v>0.127</v>
      </c>
      <c r="H95" s="75">
        <f t="shared" si="16"/>
        <v>1.27</v>
      </c>
      <c r="I95" s="76">
        <f t="shared" si="23"/>
        <v>33261.300000000003</v>
      </c>
      <c r="J95" s="62" t="str">
        <f>_xlfn.TEXTBEFORE(_xlfn.TEXTAFTER(D95, "CER "), "F")</f>
        <v>10000P</v>
      </c>
      <c r="K95" s="72" t="s">
        <v>103</v>
      </c>
      <c r="L95" s="99">
        <v>0.01</v>
      </c>
      <c r="M95" s="62" t="str">
        <f t="shared" si="21"/>
        <v>0603</v>
      </c>
      <c r="N95" s="62" t="str">
        <f t="shared" si="22"/>
        <v>Capacitor</v>
      </c>
      <c r="O95" s="62" t="s">
        <v>299</v>
      </c>
      <c r="P95" s="97" t="s">
        <v>26</v>
      </c>
      <c r="Q95" s="62" t="s">
        <v>433</v>
      </c>
    </row>
    <row r="96" spans="1:17" x14ac:dyDescent="0.25">
      <c r="A96" s="58">
        <v>95</v>
      </c>
      <c r="B96" s="68" t="s">
        <v>434</v>
      </c>
      <c r="C96" s="68" t="s">
        <v>435</v>
      </c>
      <c r="D96" s="68" t="s">
        <v>436</v>
      </c>
      <c r="E96" s="98" t="s">
        <v>437</v>
      </c>
      <c r="F96" s="62">
        <v>10</v>
      </c>
      <c r="G96" s="85">
        <v>0.38919999999999999</v>
      </c>
      <c r="H96" s="75">
        <f t="shared" si="16"/>
        <v>3.8919999999999999</v>
      </c>
      <c r="I96" s="76">
        <f t="shared" si="23"/>
        <v>101931.48</v>
      </c>
      <c r="J96" s="62" t="str">
        <f t="shared" ref="J96" si="24">TRIM(LEFT(SUBSTITUTE(TRIM(SUBSTITUTE(SUBSTITUTE(D96,"RES",""),"SMD",""))," ",REPT(" ",100)),100))</f>
        <v>2K</v>
      </c>
      <c r="K96" s="62" t="s">
        <v>50</v>
      </c>
      <c r="L96" s="62" t="str">
        <f>_xlfn.TEXTAFTER(_xlfn.TEXTBEFORE(D96, "%"), " ", -1) &amp; "%"</f>
        <v>0.05%</v>
      </c>
      <c r="M96" s="62" t="str">
        <f t="shared" si="21"/>
        <v>0603</v>
      </c>
      <c r="N96" s="62" t="str">
        <f t="shared" si="22"/>
        <v>Resistor</v>
      </c>
      <c r="O96" s="62" t="s">
        <v>299</v>
      </c>
      <c r="P96" s="73" t="s">
        <v>26</v>
      </c>
      <c r="Q96" s="62"/>
    </row>
    <row r="97" spans="1:17" x14ac:dyDescent="0.25">
      <c r="A97" s="58">
        <v>96</v>
      </c>
      <c r="B97" s="68" t="s">
        <v>438</v>
      </c>
      <c r="C97" s="68" t="s">
        <v>439</v>
      </c>
      <c r="D97" s="68" t="s">
        <v>440</v>
      </c>
      <c r="E97" s="100" t="s">
        <v>441</v>
      </c>
      <c r="F97" s="58">
        <v>25</v>
      </c>
      <c r="G97" s="89">
        <v>8.8800000000000004E-2</v>
      </c>
      <c r="H97" s="70">
        <f t="shared" si="16"/>
        <v>2.2200000000000002</v>
      </c>
      <c r="I97" s="71">
        <f t="shared" si="23"/>
        <v>58141.8</v>
      </c>
      <c r="J97" s="62" t="str">
        <f>TRIM(LEFT(SUBSTITUTE(TRIM(SUBSTITUTE(SUBSTITUTE(D97,"RES",""),"SMD",""))," ",REPT(" ",100)),100))</f>
        <v>52.3</v>
      </c>
      <c r="K97" s="62" t="s">
        <v>50</v>
      </c>
      <c r="L97" s="62" t="str">
        <f>_xlfn.TEXTAFTER(_xlfn.TEXTBEFORE(D97, "%"), " ", -1) &amp; "%"</f>
        <v>0.1%</v>
      </c>
      <c r="M97" s="62" t="str">
        <f t="shared" si="21"/>
        <v>0603</v>
      </c>
      <c r="N97" s="62" t="str">
        <f t="shared" si="22"/>
        <v>Resistor</v>
      </c>
      <c r="O97" s="62" t="s">
        <v>299</v>
      </c>
      <c r="P97" s="73" t="s">
        <v>26</v>
      </c>
      <c r="Q97" s="58"/>
    </row>
    <row r="98" spans="1:17" hidden="1" x14ac:dyDescent="0.25">
      <c r="A98" s="58">
        <v>97</v>
      </c>
      <c r="B98" s="68" t="s">
        <v>442</v>
      </c>
      <c r="C98" s="68" t="s">
        <v>443</v>
      </c>
      <c r="D98" s="68" t="s">
        <v>444</v>
      </c>
      <c r="E98" s="100" t="s">
        <v>445</v>
      </c>
      <c r="F98" s="58">
        <v>10</v>
      </c>
      <c r="G98" s="89">
        <v>0.67</v>
      </c>
      <c r="H98" s="70">
        <f t="shared" ref="H98:H112" si="25">G98*F98</f>
        <v>6.7</v>
      </c>
      <c r="I98" s="71">
        <f t="shared" si="23"/>
        <v>175473</v>
      </c>
      <c r="J98" s="62" t="str">
        <f>_xlfn.TEXTBEFORE(_xlfn.TEXTAFTER(D98, "CER "), "F")</f>
        <v>0.1U</v>
      </c>
      <c r="K98" s="72" t="s">
        <v>103</v>
      </c>
      <c r="L98" s="99">
        <v>0.01</v>
      </c>
      <c r="M98" s="81" t="str">
        <f t="shared" si="21"/>
        <v>1206</v>
      </c>
      <c r="N98" s="62" t="str">
        <f t="shared" si="22"/>
        <v>Capacitor</v>
      </c>
      <c r="O98" s="62" t="s">
        <v>299</v>
      </c>
      <c r="P98" s="73" t="s">
        <v>26</v>
      </c>
      <c r="Q98" s="58" t="s">
        <v>446</v>
      </c>
    </row>
    <row r="99" spans="1:17" x14ac:dyDescent="0.25">
      <c r="A99" s="58">
        <v>98</v>
      </c>
      <c r="B99" s="102" t="s">
        <v>447</v>
      </c>
      <c r="C99" s="102" t="s">
        <v>448</v>
      </c>
      <c r="D99" s="102" t="s">
        <v>449</v>
      </c>
      <c r="E99" s="103" t="s">
        <v>185</v>
      </c>
      <c r="F99" s="58">
        <v>10</v>
      </c>
      <c r="G99" s="104">
        <v>0.25800000000000001</v>
      </c>
      <c r="H99" s="105">
        <f t="shared" si="25"/>
        <v>2.58</v>
      </c>
      <c r="I99" s="106">
        <f t="shared" si="23"/>
        <v>67570.2</v>
      </c>
      <c r="J99" s="107" t="str">
        <f>TRIM(LEFT(SUBSTITUTE(TRIM(SUBSTITUTE(SUBSTITUTE(D99,"RES",""),"SMD",""))," ",REPT(" ",100)),100))</f>
        <v>60.4K</v>
      </c>
      <c r="K99" s="62" t="s">
        <v>50</v>
      </c>
      <c r="L99" s="62" t="str">
        <f>_xlfn.TEXTAFTER(_xlfn.TEXTBEFORE(D99, "%"), " ", -1) &amp; "%"</f>
        <v>1%</v>
      </c>
      <c r="M99" s="110" t="str">
        <f t="shared" si="21"/>
        <v>0805</v>
      </c>
      <c r="N99" s="107" t="str">
        <f t="shared" si="22"/>
        <v>Resistor</v>
      </c>
      <c r="O99" s="62" t="s">
        <v>299</v>
      </c>
      <c r="P99" s="73" t="s">
        <v>26</v>
      </c>
      <c r="Q99" s="101"/>
    </row>
    <row r="100" spans="1:17" x14ac:dyDescent="0.25">
      <c r="A100" s="58">
        <v>99</v>
      </c>
      <c r="B100" s="50" t="s">
        <v>450</v>
      </c>
      <c r="C100" s="50" t="s">
        <v>451</v>
      </c>
      <c r="D100" s="50" t="s">
        <v>452</v>
      </c>
      <c r="E100" s="21" t="s">
        <v>453</v>
      </c>
      <c r="F100" s="1">
        <v>25</v>
      </c>
      <c r="G100" s="6">
        <v>4.3999999999999997E-2</v>
      </c>
      <c r="H100" s="2">
        <f t="shared" si="25"/>
        <v>1.0999999999999999</v>
      </c>
      <c r="I100" s="10">
        <f t="shared" si="23"/>
        <v>28808.999999999996</v>
      </c>
      <c r="J100" s="8" t="str">
        <f>TRIM(LEFT(SUBSTITUTE(TRIM(SUBSTITUTE(SUBSTITUTE(D100,"RES",""),"SMD",""))," ",REPT(" ",100)),100))</f>
        <v>24.3K</v>
      </c>
      <c r="K100" s="62" t="s">
        <v>50</v>
      </c>
      <c r="L100" s="8" t="str">
        <f>_xlfn.TEXTAFTER(_xlfn.TEXTBEFORE(D100, "%"), " ", -1) &amp; "%"</f>
        <v>1%</v>
      </c>
      <c r="M100" s="108" t="str">
        <f t="shared" si="21"/>
        <v>0805</v>
      </c>
      <c r="N100" s="8" t="str">
        <f t="shared" si="22"/>
        <v>Resistor</v>
      </c>
      <c r="O100" s="62" t="s">
        <v>299</v>
      </c>
      <c r="P100" s="73" t="s">
        <v>26</v>
      </c>
      <c r="Q100" s="1"/>
    </row>
    <row r="101" spans="1:17" x14ac:dyDescent="0.25">
      <c r="A101" s="58">
        <v>100</v>
      </c>
      <c r="B101" s="50" t="s">
        <v>454</v>
      </c>
      <c r="C101" s="50" t="s">
        <v>455</v>
      </c>
      <c r="D101" s="50" t="s">
        <v>456</v>
      </c>
      <c r="E101" s="21" t="s">
        <v>457</v>
      </c>
      <c r="F101" s="1">
        <v>25</v>
      </c>
      <c r="G101" s="6">
        <v>3.6999999999999998E-2</v>
      </c>
      <c r="H101" s="2">
        <f t="shared" si="25"/>
        <v>0.92499999999999993</v>
      </c>
      <c r="I101" s="10">
        <f t="shared" si="23"/>
        <v>24225.75</v>
      </c>
      <c r="J101" s="8" t="str">
        <f>TRIM(LEFT(SUBSTITUTE(TRIM(SUBSTITUTE(SUBSTITUTE(D101,"RES",""),"SMD",""))," ",REPT(" ",100)),100))</f>
        <v>150K</v>
      </c>
      <c r="K101" s="62" t="s">
        <v>50</v>
      </c>
      <c r="L101" s="8" t="str">
        <f>_xlfn.TEXTAFTER(_xlfn.TEXTBEFORE(D101, "%"), " ", -1) &amp; "%"</f>
        <v>1%</v>
      </c>
      <c r="M101" s="8" t="str">
        <f t="shared" si="21"/>
        <v>0805</v>
      </c>
      <c r="N101" s="8" t="str">
        <f t="shared" si="22"/>
        <v>Resistor</v>
      </c>
      <c r="O101" s="62" t="s">
        <v>299</v>
      </c>
      <c r="P101" s="73" t="s">
        <v>26</v>
      </c>
      <c r="Q101" s="1"/>
    </row>
    <row r="102" spans="1:17" hidden="1" x14ac:dyDescent="0.25">
      <c r="A102" s="58">
        <v>101</v>
      </c>
      <c r="B102" s="50" t="s">
        <v>458</v>
      </c>
      <c r="C102" s="50" t="s">
        <v>459</v>
      </c>
      <c r="D102" s="50" t="s">
        <v>460</v>
      </c>
      <c r="E102" s="21" t="s">
        <v>461</v>
      </c>
      <c r="F102" s="1">
        <v>20</v>
      </c>
      <c r="G102" s="6">
        <v>6.6000000000000003E-2</v>
      </c>
      <c r="H102" s="2">
        <f t="shared" si="25"/>
        <v>1.32</v>
      </c>
      <c r="I102" s="10">
        <f t="shared" si="23"/>
        <v>34570.800000000003</v>
      </c>
      <c r="J102" s="8" t="s">
        <v>462</v>
      </c>
      <c r="K102" s="72" t="s">
        <v>103</v>
      </c>
      <c r="L102" s="99">
        <v>0.1</v>
      </c>
      <c r="M102" s="8" t="str">
        <f t="shared" si="21"/>
        <v>0603</v>
      </c>
      <c r="N102" s="8" t="str">
        <f t="shared" si="22"/>
        <v>Capacitor</v>
      </c>
      <c r="O102" s="62" t="s">
        <v>299</v>
      </c>
      <c r="P102" s="73" t="s">
        <v>26</v>
      </c>
      <c r="Q102" s="1"/>
    </row>
    <row r="103" spans="1:17" hidden="1" x14ac:dyDescent="0.25">
      <c r="A103" s="58">
        <v>102</v>
      </c>
      <c r="B103" s="80" t="s">
        <v>236</v>
      </c>
      <c r="C103" s="80" t="s">
        <v>237</v>
      </c>
      <c r="D103" s="80" t="s">
        <v>238</v>
      </c>
      <c r="E103" s="77" t="s">
        <v>239</v>
      </c>
      <c r="F103" s="72">
        <v>15</v>
      </c>
      <c r="G103" s="85">
        <v>0.12</v>
      </c>
      <c r="H103" s="78">
        <f t="shared" si="25"/>
        <v>1.7999999999999998</v>
      </c>
      <c r="I103" s="86">
        <f t="shared" si="23"/>
        <v>47141.999999999993</v>
      </c>
      <c r="J103" s="62" t="str">
        <f>_xlfn.TEXTBEFORE(_xlfn.TEXTAFTER(D103, "CER "), "F")</f>
        <v>10U</v>
      </c>
      <c r="K103" s="72" t="s">
        <v>103</v>
      </c>
      <c r="L103" s="92"/>
      <c r="M103" s="81" t="str">
        <f t="shared" si="21"/>
        <v>0805</v>
      </c>
      <c r="N103" s="62" t="str">
        <f t="shared" si="22"/>
        <v>Capacitor</v>
      </c>
      <c r="O103" s="62" t="s">
        <v>299</v>
      </c>
      <c r="P103" s="73" t="s">
        <v>26</v>
      </c>
      <c r="Q103" s="62"/>
    </row>
    <row r="104" spans="1:17" hidden="1" x14ac:dyDescent="0.25">
      <c r="A104" s="58">
        <v>103</v>
      </c>
      <c r="B104" s="50" t="s">
        <v>463</v>
      </c>
      <c r="C104" s="50" t="s">
        <v>463</v>
      </c>
      <c r="D104" s="50" t="s">
        <v>464</v>
      </c>
      <c r="E104" s="21" t="s">
        <v>465</v>
      </c>
      <c r="F104" s="1">
        <v>15</v>
      </c>
      <c r="G104" s="85">
        <v>4.7E-2</v>
      </c>
      <c r="H104" s="78">
        <f t="shared" si="25"/>
        <v>0.70499999999999996</v>
      </c>
      <c r="I104" s="86">
        <f t="shared" si="23"/>
        <v>18463.95</v>
      </c>
      <c r="J104" s="8" t="str">
        <f>_xlfn.TEXTBEFORE(_xlfn.TEXTAFTER(D104, "CER "), "F")</f>
        <v>0.022U</v>
      </c>
      <c r="K104" s="72" t="s">
        <v>103</v>
      </c>
      <c r="L104" s="8"/>
      <c r="M104" s="8" t="str">
        <f t="shared" si="21"/>
        <v>0603</v>
      </c>
      <c r="N104" s="62" t="str">
        <f t="shared" si="22"/>
        <v>Capacitor</v>
      </c>
      <c r="O104" s="62" t="s">
        <v>299</v>
      </c>
      <c r="P104" s="73" t="s">
        <v>26</v>
      </c>
      <c r="Q104" s="1"/>
    </row>
    <row r="105" spans="1:17" hidden="1" x14ac:dyDescent="0.25">
      <c r="A105" s="58">
        <v>104</v>
      </c>
      <c r="B105" s="50" t="s">
        <v>466</v>
      </c>
      <c r="C105" s="50" t="s">
        <v>467</v>
      </c>
      <c r="D105" s="50" t="s">
        <v>468</v>
      </c>
      <c r="E105" s="21" t="s">
        <v>469</v>
      </c>
      <c r="F105" s="1">
        <v>10</v>
      </c>
      <c r="G105" s="6">
        <v>0.29399999999999998</v>
      </c>
      <c r="H105" s="75">
        <f t="shared" si="25"/>
        <v>2.94</v>
      </c>
      <c r="I105" s="76">
        <f t="shared" ref="I105" si="26">H105*26190</f>
        <v>76998.600000000006</v>
      </c>
      <c r="J105" s="62" t="str">
        <f>_xlfn.TEXTBEFORE(_xlfn.TEXTAFTER(D105, "CER "), "F")</f>
        <v>47U</v>
      </c>
      <c r="K105" s="72" t="s">
        <v>103</v>
      </c>
      <c r="L105" s="109">
        <v>0.2</v>
      </c>
      <c r="M105" s="81" t="str">
        <f t="shared" si="21"/>
        <v>1206</v>
      </c>
      <c r="N105" s="62" t="str">
        <f t="shared" si="22"/>
        <v>Capacitor</v>
      </c>
      <c r="O105" s="62" t="s">
        <v>299</v>
      </c>
      <c r="P105" s="73" t="s">
        <v>26</v>
      </c>
      <c r="Q105" s="1"/>
    </row>
    <row r="106" spans="1:17" hidden="1" x14ac:dyDescent="0.25">
      <c r="A106" s="58">
        <v>105</v>
      </c>
      <c r="B106" s="50" t="s">
        <v>470</v>
      </c>
      <c r="C106" s="50" t="s">
        <v>471</v>
      </c>
      <c r="D106" s="50" t="s">
        <v>472</v>
      </c>
      <c r="E106" s="21" t="s">
        <v>473</v>
      </c>
      <c r="F106" s="1">
        <v>4</v>
      </c>
      <c r="G106" s="6">
        <v>0.5</v>
      </c>
      <c r="H106" s="90">
        <f t="shared" si="25"/>
        <v>2</v>
      </c>
      <c r="I106" s="91">
        <f t="shared" ref="I106:I112" si="27">H106*26190</f>
        <v>52380</v>
      </c>
      <c r="J106" s="72" t="s">
        <v>21</v>
      </c>
      <c r="K106" s="62" t="s">
        <v>22</v>
      </c>
      <c r="L106" s="92" t="s">
        <v>21</v>
      </c>
      <c r="M106" s="8" t="s">
        <v>474</v>
      </c>
      <c r="N106" s="72" t="s">
        <v>199</v>
      </c>
      <c r="O106" s="8" t="s">
        <v>299</v>
      </c>
      <c r="P106" s="73" t="s">
        <v>26</v>
      </c>
      <c r="Q106" s="1"/>
    </row>
    <row r="107" spans="1:17" hidden="1" x14ac:dyDescent="0.25">
      <c r="A107" s="58">
        <v>106</v>
      </c>
      <c r="B107" s="50" t="s">
        <v>475</v>
      </c>
      <c r="C107" s="50" t="s">
        <v>476</v>
      </c>
      <c r="D107" s="50" t="s">
        <v>477</v>
      </c>
      <c r="E107" s="21" t="s">
        <v>478</v>
      </c>
      <c r="F107" s="1">
        <v>4</v>
      </c>
      <c r="G107" s="6">
        <v>0.49</v>
      </c>
      <c r="H107" s="2">
        <f t="shared" si="25"/>
        <v>1.96</v>
      </c>
      <c r="I107" s="91">
        <f t="shared" si="27"/>
        <v>51332.4</v>
      </c>
      <c r="J107" s="72" t="s">
        <v>21</v>
      </c>
      <c r="K107" s="62" t="s">
        <v>22</v>
      </c>
      <c r="L107" s="92" t="s">
        <v>21</v>
      </c>
      <c r="M107" s="8" t="s">
        <v>474</v>
      </c>
      <c r="N107" s="72" t="s">
        <v>199</v>
      </c>
      <c r="O107" s="8" t="s">
        <v>299</v>
      </c>
      <c r="P107" s="73" t="s">
        <v>26</v>
      </c>
      <c r="Q107" s="1"/>
    </row>
    <row r="108" spans="1:17" hidden="1" x14ac:dyDescent="0.25">
      <c r="A108" s="58">
        <v>107</v>
      </c>
      <c r="B108" s="50" t="s">
        <v>479</v>
      </c>
      <c r="C108" s="50" t="s">
        <v>480</v>
      </c>
      <c r="D108" s="50" t="s">
        <v>481</v>
      </c>
      <c r="E108" s="21" t="s">
        <v>482</v>
      </c>
      <c r="F108" s="1">
        <v>4</v>
      </c>
      <c r="G108" s="6">
        <v>0.56999999999999995</v>
      </c>
      <c r="H108" s="2">
        <f t="shared" si="25"/>
        <v>2.2799999999999998</v>
      </c>
      <c r="I108" s="91">
        <f t="shared" si="27"/>
        <v>59713.2</v>
      </c>
      <c r="J108" s="72" t="s">
        <v>21</v>
      </c>
      <c r="K108" s="62" t="s">
        <v>22</v>
      </c>
      <c r="L108" s="92" t="s">
        <v>21</v>
      </c>
      <c r="M108" s="8" t="s">
        <v>483</v>
      </c>
      <c r="N108" s="72" t="s">
        <v>199</v>
      </c>
      <c r="O108" s="8" t="s">
        <v>299</v>
      </c>
      <c r="P108" s="73" t="s">
        <v>26</v>
      </c>
      <c r="Q108" s="1"/>
    </row>
    <row r="109" spans="1:17" hidden="1" x14ac:dyDescent="0.25">
      <c r="A109" s="58">
        <v>108</v>
      </c>
      <c r="B109" s="50" t="s">
        <v>484</v>
      </c>
      <c r="C109" s="50" t="s">
        <v>485</v>
      </c>
      <c r="D109" s="50" t="s">
        <v>486</v>
      </c>
      <c r="E109" s="21" t="s">
        <v>487</v>
      </c>
      <c r="F109" s="1">
        <v>4</v>
      </c>
      <c r="G109" s="6">
        <v>0.43</v>
      </c>
      <c r="H109" s="2">
        <f t="shared" si="25"/>
        <v>1.72</v>
      </c>
      <c r="I109" s="91">
        <f t="shared" si="27"/>
        <v>45046.8</v>
      </c>
      <c r="J109" s="72" t="s">
        <v>21</v>
      </c>
      <c r="K109" s="62" t="s">
        <v>22</v>
      </c>
      <c r="L109" s="92" t="s">
        <v>21</v>
      </c>
      <c r="M109" s="8" t="s">
        <v>483</v>
      </c>
      <c r="N109" s="72" t="s">
        <v>199</v>
      </c>
      <c r="O109" s="8" t="s">
        <v>299</v>
      </c>
      <c r="P109" s="73" t="s">
        <v>26</v>
      </c>
      <c r="Q109" s="1"/>
    </row>
    <row r="110" spans="1:17" hidden="1" x14ac:dyDescent="0.25">
      <c r="A110" s="58">
        <v>109</v>
      </c>
      <c r="B110" s="50" t="s">
        <v>488</v>
      </c>
      <c r="C110" s="50" t="s">
        <v>489</v>
      </c>
      <c r="D110" s="50" t="s">
        <v>490</v>
      </c>
      <c r="E110" s="21" t="s">
        <v>491</v>
      </c>
      <c r="F110" s="1">
        <v>4</v>
      </c>
      <c r="G110" s="6">
        <v>1.05</v>
      </c>
      <c r="H110" s="2">
        <f t="shared" si="25"/>
        <v>4.2</v>
      </c>
      <c r="I110" s="91">
        <f t="shared" si="27"/>
        <v>109998</v>
      </c>
      <c r="J110" s="72" t="s">
        <v>21</v>
      </c>
      <c r="K110" s="62" t="s">
        <v>22</v>
      </c>
      <c r="L110" s="92" t="s">
        <v>21</v>
      </c>
      <c r="M110" s="8" t="s">
        <v>492</v>
      </c>
      <c r="N110" s="8" t="s">
        <v>163</v>
      </c>
      <c r="O110" s="8" t="s">
        <v>299</v>
      </c>
      <c r="P110" s="73" t="s">
        <v>26</v>
      </c>
      <c r="Q110" s="1"/>
    </row>
    <row r="111" spans="1:17" hidden="1" x14ac:dyDescent="0.25">
      <c r="A111" s="58">
        <v>110</v>
      </c>
      <c r="B111" s="50" t="s">
        <v>493</v>
      </c>
      <c r="C111" s="50" t="s">
        <v>494</v>
      </c>
      <c r="D111" s="50" t="s">
        <v>495</v>
      </c>
      <c r="E111" s="21" t="s">
        <v>496</v>
      </c>
      <c r="F111" s="1">
        <v>4</v>
      </c>
      <c r="G111" s="6">
        <v>0.74</v>
      </c>
      <c r="H111" s="2">
        <f t="shared" si="25"/>
        <v>2.96</v>
      </c>
      <c r="I111" s="91">
        <f t="shared" si="27"/>
        <v>77522.399999999994</v>
      </c>
      <c r="J111" s="72" t="s">
        <v>21</v>
      </c>
      <c r="K111" s="62" t="s">
        <v>22</v>
      </c>
      <c r="L111" s="92" t="s">
        <v>21</v>
      </c>
      <c r="M111" s="111">
        <v>1210</v>
      </c>
      <c r="N111" s="8" t="s">
        <v>163</v>
      </c>
      <c r="O111" s="8" t="s">
        <v>299</v>
      </c>
      <c r="P111" s="73" t="s">
        <v>26</v>
      </c>
      <c r="Q111" s="1"/>
    </row>
    <row r="112" spans="1:17" hidden="1" x14ac:dyDescent="0.25">
      <c r="A112" s="58">
        <v>111</v>
      </c>
      <c r="B112" s="50" t="s">
        <v>497</v>
      </c>
      <c r="C112" s="50" t="s">
        <v>498</v>
      </c>
      <c r="D112" s="50" t="s">
        <v>499</v>
      </c>
      <c r="E112" s="21" t="s">
        <v>500</v>
      </c>
      <c r="F112" s="1">
        <v>10</v>
      </c>
      <c r="G112" s="6">
        <v>0.20399999999999999</v>
      </c>
      <c r="H112" s="2">
        <f t="shared" si="25"/>
        <v>2.04</v>
      </c>
      <c r="I112" s="91">
        <f t="shared" si="27"/>
        <v>53427.6</v>
      </c>
      <c r="J112" s="72" t="s">
        <v>21</v>
      </c>
      <c r="K112" s="62" t="s">
        <v>22</v>
      </c>
      <c r="L112" s="92" t="s">
        <v>21</v>
      </c>
      <c r="M112" s="8"/>
      <c r="N112" s="8" t="s">
        <v>163</v>
      </c>
      <c r="O112" s="8" t="s">
        <v>299</v>
      </c>
      <c r="P112" s="73" t="s">
        <v>26</v>
      </c>
      <c r="Q112" s="1"/>
    </row>
    <row r="113" spans="1:17" hidden="1" x14ac:dyDescent="0.25">
      <c r="A113" s="1">
        <v>112</v>
      </c>
      <c r="B113" s="50" t="s">
        <v>501</v>
      </c>
      <c r="C113" s="50" t="s">
        <v>502</v>
      </c>
      <c r="D113" s="50" t="s">
        <v>43</v>
      </c>
      <c r="E113" s="21" t="s">
        <v>503</v>
      </c>
      <c r="F113" s="1">
        <v>2</v>
      </c>
      <c r="G113" s="6">
        <v>5.34</v>
      </c>
      <c r="H113" s="2">
        <f t="shared" ref="H113" si="28">G113*F113</f>
        <v>10.68</v>
      </c>
      <c r="I113" s="91">
        <f t="shared" ref="I113" si="29">H113*26190</f>
        <v>279709.2</v>
      </c>
      <c r="J113" s="72" t="s">
        <v>21</v>
      </c>
      <c r="K113" s="62" t="s">
        <v>22</v>
      </c>
      <c r="L113" s="92" t="s">
        <v>21</v>
      </c>
      <c r="M113" s="8" t="s">
        <v>883</v>
      </c>
      <c r="N113" s="8" t="s">
        <v>24</v>
      </c>
      <c r="O113" s="8" t="s">
        <v>299</v>
      </c>
      <c r="P113" s="73" t="s">
        <v>26</v>
      </c>
      <c r="Q113" s="1"/>
    </row>
    <row r="114" spans="1:17" x14ac:dyDescent="0.25">
      <c r="A114" s="1"/>
      <c r="B114" s="50"/>
      <c r="C114" s="50"/>
      <c r="D114" s="50"/>
      <c r="E114" s="21"/>
      <c r="F114" s="1"/>
      <c r="G114" s="6"/>
      <c r="H114" s="2"/>
      <c r="I114" s="91"/>
      <c r="J114" s="72"/>
      <c r="K114" s="62"/>
      <c r="L114" s="92"/>
      <c r="M114" s="8"/>
      <c r="N114" s="8"/>
      <c r="O114" s="8"/>
      <c r="P114" s="47"/>
      <c r="Q114" s="1"/>
    </row>
    <row r="115" spans="1:17" x14ac:dyDescent="0.25">
      <c r="A115" s="1"/>
      <c r="B115" s="50"/>
      <c r="C115" s="50"/>
      <c r="D115" s="50"/>
      <c r="E115" s="21"/>
      <c r="F115" s="1"/>
      <c r="G115" s="6"/>
      <c r="H115" s="2"/>
      <c r="I115" s="91"/>
      <c r="J115" s="8"/>
      <c r="K115" s="8"/>
      <c r="L115" s="8"/>
      <c r="M115" s="8"/>
      <c r="N115" s="8"/>
      <c r="O115" s="8"/>
      <c r="P115" s="47"/>
      <c r="Q115" s="1"/>
    </row>
    <row r="116" spans="1:17" x14ac:dyDescent="0.25">
      <c r="A116" s="1"/>
      <c r="B116" s="50"/>
      <c r="C116" s="50"/>
      <c r="D116" s="50"/>
      <c r="E116" s="21"/>
      <c r="F116" s="1"/>
      <c r="G116" s="6"/>
      <c r="H116" s="2"/>
      <c r="I116" s="91"/>
      <c r="J116" s="8"/>
      <c r="K116" s="8"/>
      <c r="L116" s="8"/>
      <c r="M116" s="8"/>
      <c r="N116" s="8"/>
      <c r="O116" s="8"/>
      <c r="P116" s="47"/>
      <c r="Q116" s="1"/>
    </row>
    <row r="117" spans="1:17" x14ac:dyDescent="0.25">
      <c r="A117" s="1"/>
      <c r="B117" s="50"/>
      <c r="C117" s="50"/>
      <c r="D117" s="50"/>
      <c r="E117" s="21"/>
      <c r="F117" s="1"/>
      <c r="G117" s="6"/>
      <c r="H117" s="2"/>
      <c r="I117" s="91"/>
      <c r="J117" s="8"/>
      <c r="K117" s="8"/>
      <c r="L117" s="8"/>
      <c r="M117" s="8"/>
      <c r="N117" s="8"/>
      <c r="O117" s="8"/>
      <c r="P117" s="47"/>
      <c r="Q117" s="1"/>
    </row>
    <row r="118" spans="1:17" x14ac:dyDescent="0.25">
      <c r="A118" s="1"/>
      <c r="B118" s="50"/>
      <c r="C118" s="50"/>
      <c r="D118" s="50"/>
      <c r="E118" s="21"/>
      <c r="F118" s="1"/>
      <c r="G118" s="6"/>
      <c r="H118" s="2"/>
      <c r="I118" s="91"/>
      <c r="J118" s="8"/>
      <c r="K118" s="8"/>
      <c r="L118" s="8"/>
      <c r="M118" s="8"/>
      <c r="N118" s="8"/>
      <c r="O118" s="8"/>
      <c r="P118" s="47"/>
      <c r="Q118" s="1"/>
    </row>
    <row r="119" spans="1:17" x14ac:dyDescent="0.25">
      <c r="A119" s="1"/>
      <c r="B119" s="50"/>
      <c r="C119" s="50"/>
      <c r="D119" s="50"/>
      <c r="E119" s="21"/>
      <c r="F119" s="1"/>
      <c r="G119" s="6"/>
      <c r="H119" s="2"/>
      <c r="I119" s="91"/>
      <c r="J119" s="8"/>
      <c r="K119" s="8"/>
      <c r="L119" s="8"/>
      <c r="M119" s="8"/>
      <c r="N119" s="8"/>
      <c r="O119" s="8"/>
      <c r="P119" s="47"/>
      <c r="Q119" s="1"/>
    </row>
    <row r="120" spans="1:17" x14ac:dyDescent="0.25">
      <c r="A120" s="1"/>
      <c r="B120" s="50"/>
      <c r="C120" s="50"/>
      <c r="D120" s="50"/>
      <c r="E120" s="21"/>
      <c r="F120" s="1"/>
      <c r="G120" s="6"/>
      <c r="H120" s="2"/>
      <c r="I120" s="91"/>
      <c r="J120" s="8"/>
      <c r="K120" s="8"/>
      <c r="L120" s="8"/>
      <c r="M120" s="8"/>
      <c r="N120" s="8"/>
      <c r="O120" s="8"/>
      <c r="P120" s="47"/>
      <c r="Q120" s="1"/>
    </row>
    <row r="121" spans="1:17" x14ac:dyDescent="0.25">
      <c r="A121" s="1"/>
      <c r="B121" s="50"/>
      <c r="C121" s="50"/>
      <c r="D121" s="50"/>
      <c r="E121" s="21"/>
      <c r="F121" s="1"/>
      <c r="G121" s="6"/>
      <c r="H121" s="2"/>
      <c r="I121" s="91"/>
      <c r="J121" s="8"/>
      <c r="K121" s="8"/>
      <c r="L121" s="8"/>
      <c r="M121" s="8"/>
      <c r="N121" s="8"/>
      <c r="O121" s="8"/>
      <c r="P121" s="47"/>
      <c r="Q121" s="1"/>
    </row>
    <row r="122" spans="1:17" x14ac:dyDescent="0.25">
      <c r="A122" s="1"/>
      <c r="B122" s="50"/>
      <c r="C122" s="50"/>
      <c r="D122" s="50"/>
      <c r="E122" s="21"/>
      <c r="F122" s="1"/>
      <c r="G122" s="6"/>
      <c r="H122" s="2"/>
      <c r="I122" s="91"/>
      <c r="J122" s="8"/>
      <c r="K122" s="8"/>
      <c r="L122" s="8"/>
      <c r="M122" s="8"/>
      <c r="N122" s="8"/>
      <c r="O122" s="8"/>
      <c r="P122" s="47"/>
      <c r="Q122" s="1"/>
    </row>
    <row r="123" spans="1:17" x14ac:dyDescent="0.25">
      <c r="A123" s="1"/>
      <c r="B123" s="50"/>
      <c r="C123" s="50"/>
      <c r="D123" s="50"/>
      <c r="E123" s="21"/>
      <c r="F123" s="1"/>
      <c r="G123" s="6"/>
      <c r="H123" s="2"/>
      <c r="I123" s="91"/>
      <c r="J123" s="8"/>
      <c r="K123" s="8"/>
      <c r="L123" s="8"/>
      <c r="M123" s="8"/>
      <c r="N123" s="8"/>
      <c r="O123" s="8"/>
      <c r="P123" s="47"/>
      <c r="Q123" s="1"/>
    </row>
    <row r="124" spans="1:17" x14ac:dyDescent="0.25">
      <c r="A124" s="1"/>
      <c r="B124" s="50"/>
      <c r="C124" s="50"/>
      <c r="D124" s="50"/>
      <c r="E124" s="21"/>
      <c r="F124" s="1"/>
      <c r="G124" s="6"/>
      <c r="H124" s="2"/>
      <c r="I124" s="91"/>
      <c r="J124" s="8"/>
      <c r="K124" s="8"/>
      <c r="L124" s="8"/>
      <c r="M124" s="8"/>
      <c r="N124" s="8"/>
      <c r="O124" s="8"/>
      <c r="P124" s="47"/>
      <c r="Q124" s="1"/>
    </row>
    <row r="125" spans="1:17" x14ac:dyDescent="0.25">
      <c r="A125" s="1"/>
      <c r="B125" s="50"/>
      <c r="C125" s="50"/>
      <c r="D125" s="50"/>
      <c r="E125" s="21"/>
      <c r="F125" s="1"/>
      <c r="G125" s="6"/>
      <c r="H125" s="2"/>
      <c r="I125" s="91"/>
      <c r="J125" s="8"/>
      <c r="K125" s="8"/>
      <c r="L125" s="8"/>
      <c r="M125" s="8"/>
      <c r="N125" s="8"/>
      <c r="O125" s="8"/>
      <c r="P125" s="47"/>
      <c r="Q125" s="1"/>
    </row>
    <row r="126" spans="1:17" x14ac:dyDescent="0.25">
      <c r="A126" s="1"/>
      <c r="B126" s="50"/>
      <c r="C126" s="50"/>
      <c r="D126" s="50"/>
      <c r="E126" s="21"/>
      <c r="F126" s="1"/>
      <c r="G126" s="6"/>
      <c r="H126" s="2"/>
      <c r="I126" s="91"/>
      <c r="J126" s="8"/>
      <c r="K126" s="8"/>
      <c r="L126" s="8"/>
      <c r="M126" s="8"/>
      <c r="N126" s="8"/>
      <c r="O126" s="8"/>
      <c r="P126" s="47"/>
      <c r="Q126" s="1"/>
    </row>
    <row r="127" spans="1:17" x14ac:dyDescent="0.25">
      <c r="A127" s="1"/>
      <c r="B127" s="50"/>
      <c r="C127" s="50"/>
      <c r="D127" s="50"/>
      <c r="E127" s="21"/>
      <c r="F127" s="1"/>
      <c r="G127" s="6"/>
      <c r="H127" s="2"/>
      <c r="I127" s="91"/>
      <c r="J127" s="8"/>
      <c r="K127" s="8"/>
      <c r="L127" s="8"/>
      <c r="M127" s="8"/>
      <c r="N127" s="8"/>
      <c r="O127" s="8"/>
      <c r="P127" s="47"/>
      <c r="Q127" s="1"/>
    </row>
    <row r="128" spans="1:17" x14ac:dyDescent="0.25">
      <c r="A128" s="1"/>
      <c r="B128" s="50"/>
      <c r="C128" s="50"/>
      <c r="D128" s="50"/>
      <c r="E128" s="21"/>
      <c r="F128" s="1"/>
      <c r="G128" s="6"/>
      <c r="H128" s="2"/>
      <c r="I128" s="91"/>
      <c r="J128" s="8"/>
      <c r="K128" s="8"/>
      <c r="L128" s="8"/>
      <c r="M128" s="8"/>
      <c r="N128" s="8"/>
      <c r="O128" s="8"/>
      <c r="P128" s="47"/>
      <c r="Q128" s="1"/>
    </row>
    <row r="129" spans="1:17" x14ac:dyDescent="0.25">
      <c r="A129" s="1"/>
      <c r="B129" s="50"/>
      <c r="C129" s="50"/>
      <c r="D129" s="50"/>
      <c r="E129" s="21"/>
      <c r="F129" s="1"/>
      <c r="G129" s="6"/>
      <c r="H129" s="2"/>
      <c r="I129" s="91"/>
      <c r="J129" s="8"/>
      <c r="K129" s="8"/>
      <c r="L129" s="8"/>
      <c r="M129" s="8"/>
      <c r="N129" s="8"/>
      <c r="O129" s="8"/>
      <c r="P129" s="47"/>
      <c r="Q129" s="1"/>
    </row>
    <row r="130" spans="1:17" x14ac:dyDescent="0.25">
      <c r="A130" s="1"/>
      <c r="B130" s="50"/>
      <c r="C130" s="50"/>
      <c r="D130" s="50"/>
      <c r="E130" s="21"/>
      <c r="F130" s="1"/>
      <c r="G130" s="6"/>
      <c r="H130" s="2"/>
      <c r="I130" s="91"/>
      <c r="J130" s="8"/>
      <c r="K130" s="8"/>
      <c r="L130" s="8"/>
      <c r="M130" s="8"/>
      <c r="N130" s="8"/>
      <c r="O130" s="8"/>
      <c r="P130" s="47"/>
      <c r="Q130" s="1"/>
    </row>
  </sheetData>
  <autoFilter ref="A1:Q113" xr:uid="{DBEA4F97-B59B-4A33-BD02-D62B07553550}">
    <filterColumn colId="13">
      <filters>
        <filter val="Resistor"/>
      </filters>
    </filterColumn>
  </autoFilter>
  <mergeCells count="4">
    <mergeCell ref="Q78:Q79"/>
    <mergeCell ref="Q26:Q27"/>
    <mergeCell ref="Q86:Q87"/>
    <mergeCell ref="Q88:Q89"/>
  </mergeCells>
  <hyperlinks>
    <hyperlink ref="E3" r:id="rId1" xr:uid="{E1B3D47C-8AA1-46DF-83DD-AA6F40775BB2}"/>
    <hyperlink ref="E2" r:id="rId2" xr:uid="{23A32C62-9B28-440C-B23E-5DB6EF0A2F5B}"/>
    <hyperlink ref="E4" r:id="rId3" xr:uid="{63231005-3610-4047-A930-0C8235007B7D}"/>
    <hyperlink ref="E5" r:id="rId4" xr:uid="{36FD7FF0-3629-43C1-9E2C-4A6B624D94FB}"/>
    <hyperlink ref="E6" r:id="rId5" xr:uid="{8C061200-F099-4AB3-8CAF-BAAF1BBD75AB}"/>
    <hyperlink ref="E7" r:id="rId6" xr:uid="{68125ACD-B3BD-4C09-A2CB-7D7A6FDB4268}"/>
    <hyperlink ref="E8" r:id="rId7" xr:uid="{D6B308EE-B809-442F-A6DA-209D4B3BEB67}"/>
    <hyperlink ref="E10" r:id="rId8" xr:uid="{EBD944EA-0D84-48A2-B606-EB3D9FD3BF54}"/>
    <hyperlink ref="E9" r:id="rId9" xr:uid="{D69AE04B-8600-4349-BD1A-89EBBA805451}"/>
    <hyperlink ref="E11" r:id="rId10" xr:uid="{748E09FA-C8EE-4909-B0F3-6165629C6858}"/>
    <hyperlink ref="E12" r:id="rId11" xr:uid="{D9637337-7E31-419D-BBC5-DC13E7BA38F1}"/>
    <hyperlink ref="E14" r:id="rId12" xr:uid="{B650F7AC-58E4-4915-A08B-FFAF349D23F8}"/>
    <hyperlink ref="E15" r:id="rId13" xr:uid="{D0C1E6F4-CB69-4FEF-869A-A7FC116FD6D9}"/>
    <hyperlink ref="E16" r:id="rId14" xr:uid="{7C6824EF-DC50-4130-A39D-6D99DE2168AA}"/>
    <hyperlink ref="E17" r:id="rId15" xr:uid="{4344BB84-3514-44A7-83ED-DBFA3C037823}"/>
    <hyperlink ref="E18" r:id="rId16" xr:uid="{5095DC33-6AE5-4287-A33B-A7374AF132D6}"/>
    <hyperlink ref="E19" r:id="rId17" xr:uid="{FEF0BB3A-D501-45D5-BB84-3114EE589F19}"/>
    <hyperlink ref="E20" r:id="rId18" xr:uid="{407B34D4-B559-4C34-9074-D83434E070EE}"/>
    <hyperlink ref="E21" r:id="rId19" xr:uid="{F079B4CB-D37E-499A-907F-A661D25D8A31}"/>
    <hyperlink ref="E22" r:id="rId20" xr:uid="{5C5E7C51-EFE9-4E8D-AD5E-CF509C43EAB5}"/>
    <hyperlink ref="E23" r:id="rId21" xr:uid="{B3CA67B4-F01D-4EC7-BF23-45050E947B90}"/>
    <hyperlink ref="E24" r:id="rId22" xr:uid="{4094A24D-D647-46E4-81FF-9CB53575DFC7}"/>
    <hyperlink ref="E25" r:id="rId23" xr:uid="{6ED89482-3772-4297-8BC9-B5600A0FF492}"/>
    <hyperlink ref="E26" r:id="rId24" xr:uid="{0034A981-295C-4956-96B6-CBD23223ADC7}"/>
    <hyperlink ref="E27" r:id="rId25" xr:uid="{7CC7D326-247A-4983-8552-236655E4CFC3}"/>
    <hyperlink ref="E28" r:id="rId26" xr:uid="{14ADE602-7723-4075-B9F3-0CD1DFA20D92}"/>
    <hyperlink ref="E29" r:id="rId27" xr:uid="{126970CC-B1DE-4D8B-8AC0-C02F7FD24E46}"/>
    <hyperlink ref="E30" r:id="rId28" xr:uid="{D0259BE7-4411-4BFF-A2F0-E7C83A1FA901}"/>
    <hyperlink ref="E31" r:id="rId29" display="https://www.digikey.com/en/products/detail/panasonic-electronic-components/ERJ-3EKF49R9V/196378" xr:uid="{14C99A9D-E2AC-4766-AC5D-E1726F2771DF}"/>
    <hyperlink ref="E32" r:id="rId30" xr:uid="{AA0820CD-3FF1-4DA8-BE3A-115B9B96FA9C}"/>
    <hyperlink ref="E33" r:id="rId31" xr:uid="{F05FEF12-093A-4F9A-B592-318D20125ACB}"/>
    <hyperlink ref="E34" r:id="rId32" xr:uid="{EED870F9-9F98-4998-84FB-192D86F546F1}"/>
    <hyperlink ref="E35" r:id="rId33" xr:uid="{BB6DE529-53F6-48DF-9F6C-488CC684CC45}"/>
    <hyperlink ref="E36" r:id="rId34" xr:uid="{3FA2309B-2B9D-4739-9931-D714D4A85D71}"/>
    <hyperlink ref="E37" r:id="rId35" xr:uid="{8E47A486-B261-46A7-B281-EF714F4C30D3}"/>
    <hyperlink ref="E38" r:id="rId36" xr:uid="{A1C7551C-2658-4D4B-9482-D65254232235}"/>
    <hyperlink ref="E39" r:id="rId37" xr:uid="{38DD05ED-E120-4185-A00E-0DCE14DEB7A1}"/>
    <hyperlink ref="E40" r:id="rId38" xr:uid="{9F58C96C-23F9-4A29-AC3A-B186B3F227DD}"/>
    <hyperlink ref="E41" r:id="rId39" xr:uid="{79E9CF0C-1E3C-4056-A5EC-EC59538B1F42}"/>
    <hyperlink ref="E42" r:id="rId40" xr:uid="{7CBB2853-741F-4DDB-B4AA-41E054AF2DE4}"/>
    <hyperlink ref="E43" r:id="rId41" xr:uid="{41F0ABDE-37A7-4EA2-AC85-7310DD79AE06}"/>
    <hyperlink ref="E44" r:id="rId42" xr:uid="{4BA5681B-902A-4917-BA0C-9AA089D1329F}"/>
    <hyperlink ref="E45" r:id="rId43" xr:uid="{1EEEA731-28CE-4CED-AAA4-2F3E7FFAD274}"/>
    <hyperlink ref="E46" r:id="rId44" xr:uid="{776279AE-5059-4434-BFC0-E47E2752300A}"/>
    <hyperlink ref="E47" r:id="rId45" xr:uid="{12716EE2-F5B1-4FD7-815F-8DC32AA14768}"/>
    <hyperlink ref="E48" r:id="rId46" xr:uid="{ABC6DD3C-8AA9-4680-B9E9-248C17895986}"/>
    <hyperlink ref="E49" r:id="rId47" xr:uid="{AB47E613-17C5-4DED-833E-D13455BF2331}"/>
    <hyperlink ref="E50" r:id="rId48" xr:uid="{E7DFC77B-17F0-4211-B3FD-63C3DCE95689}"/>
    <hyperlink ref="E51" r:id="rId49" xr:uid="{E133F1EC-442B-4315-8DEC-4FE52A0CE575}"/>
    <hyperlink ref="E52" r:id="rId50" xr:uid="{12537871-9F36-474D-B486-45CA055B5EC4}"/>
    <hyperlink ref="E53" r:id="rId51" xr:uid="{29066D53-30B9-4D90-9BB9-67D152FC2219}"/>
    <hyperlink ref="E55" r:id="rId52" xr:uid="{CE20E556-8206-44C4-9E28-4C83113C9F13}"/>
    <hyperlink ref="E54" r:id="rId53" xr:uid="{ED608CC9-0CA9-49DE-B614-FD699107BE24}"/>
    <hyperlink ref="E56" r:id="rId54" xr:uid="{8EBEE1EE-9694-46A2-9726-060CC6F5D4F3}"/>
    <hyperlink ref="E57" r:id="rId55" xr:uid="{7BE12CFF-2288-42B0-AEB0-C5F3B9E54C74}"/>
    <hyperlink ref="E58" r:id="rId56" xr:uid="{1B1C01DA-8445-4411-8490-15CD54C367D3}"/>
    <hyperlink ref="E59" r:id="rId57" xr:uid="{0D156B22-04B3-4675-8907-B9ACD3AAB413}"/>
    <hyperlink ref="E60" r:id="rId58" xr:uid="{6F11868A-1B10-45B7-AB6E-FD6BA8CB24E0}"/>
    <hyperlink ref="E61" r:id="rId59" xr:uid="{28529B1E-0A4F-4286-BE07-4296CE7B8B79}"/>
    <hyperlink ref="E62" r:id="rId60" xr:uid="{EF9ED7A8-23AD-4144-B007-10866E24153D}"/>
    <hyperlink ref="E63" r:id="rId61" xr:uid="{816D965F-DDC9-43F7-8DEA-4D546D20C2D0}"/>
    <hyperlink ref="E64" r:id="rId62" xr:uid="{A418F290-2D58-4834-A192-B39226E8C34B}"/>
    <hyperlink ref="E65" r:id="rId63" xr:uid="{55BF72C1-9316-4076-B984-8762A129E2C8}"/>
    <hyperlink ref="E66" r:id="rId64" xr:uid="{260BDE02-C2A3-418B-9F06-560FB35BC1DB}"/>
    <hyperlink ref="E67" r:id="rId65" xr:uid="{0A45A6A0-98E0-4F7B-9411-39A5FFC3FAAE}"/>
    <hyperlink ref="E68" r:id="rId66" xr:uid="{3CA1BB36-2B6F-471B-B8AC-68091D230868}"/>
    <hyperlink ref="E69" r:id="rId67" xr:uid="{7263274F-C59A-4DAA-BCEE-3769687DE459}"/>
    <hyperlink ref="E70" r:id="rId68" xr:uid="{74DD422B-1E61-4A3E-8BB6-68C065649A54}"/>
    <hyperlink ref="E71" r:id="rId69" xr:uid="{25C9AD29-DC79-411D-9AB8-A3A7C8E82013}"/>
    <hyperlink ref="E72" r:id="rId70" xr:uid="{DAD67F27-0653-4F3F-A436-BAA090EEF0AD}"/>
    <hyperlink ref="E73" r:id="rId71" xr:uid="{655B99AF-8861-4311-BE72-378CD84A15E0}"/>
    <hyperlink ref="E74" r:id="rId72" xr:uid="{9DEE9F6D-68B7-4F77-BDE6-FEA61C68538A}"/>
    <hyperlink ref="E75" r:id="rId73" xr:uid="{1D4D369E-0485-4090-BEDA-8161F440F63A}"/>
    <hyperlink ref="E76" r:id="rId74" xr:uid="{627391B4-F875-422F-99C5-579D5EF5F841}"/>
    <hyperlink ref="E13" r:id="rId75" xr:uid="{78637895-2583-406F-BC14-77083EA301C2}"/>
    <hyperlink ref="E77" r:id="rId76" xr:uid="{26136A53-7482-49D8-8CA2-C6FA62E5AB5F}"/>
    <hyperlink ref="E78" r:id="rId77" xr:uid="{D79C6C1B-9765-4755-B56E-7562D8C23472}"/>
    <hyperlink ref="E79" r:id="rId78" xr:uid="{05B6AA61-3E6F-465D-B61B-643367705D76}"/>
    <hyperlink ref="E81" r:id="rId79" xr:uid="{E426C0F4-7D6F-48A9-A06A-09955F5A8B71}"/>
    <hyperlink ref="E82" r:id="rId80" xr:uid="{866B7205-116E-494A-9EE2-BD07F7BD7D0E}"/>
    <hyperlink ref="E83" r:id="rId81" xr:uid="{A32E1548-5563-484F-A257-8682678CBE8F}"/>
    <hyperlink ref="E84" r:id="rId82" xr:uid="{CBC94828-D423-4315-979F-E3AA691F5065}"/>
    <hyperlink ref="E85" r:id="rId83" xr:uid="{0A25BD66-0773-4036-A684-0398AAB69A08}"/>
    <hyperlink ref="E86" r:id="rId84" xr:uid="{550BB741-587B-49EA-A892-D9719F226C33}"/>
    <hyperlink ref="E87" r:id="rId85" xr:uid="{621CCE92-9343-4046-A6B8-49D440C97C98}"/>
    <hyperlink ref="E89" r:id="rId86" xr:uid="{9525CD7F-63D4-4DFE-8A99-6DACA14176F2}"/>
    <hyperlink ref="E90" r:id="rId87" xr:uid="{0059B3A4-A77A-486A-A229-902A22AB1775}"/>
    <hyperlink ref="E91" r:id="rId88" xr:uid="{FDAEAB9C-11DB-484B-A9F7-3D9FDAAF7B03}"/>
    <hyperlink ref="E80" r:id="rId89" xr:uid="{AEBD6C34-8EAE-4331-ACB9-73BDE8F8B2A7}"/>
    <hyperlink ref="E92" r:id="rId90" xr:uid="{F102A8F8-9158-4818-AAD3-6A96AF0ED2CA}"/>
    <hyperlink ref="E93" r:id="rId91" xr:uid="{F54FC5DD-6D2A-4CE4-92B7-CD07ACE5B7BD}"/>
    <hyperlink ref="E94" r:id="rId92" xr:uid="{77634C95-93D7-427F-AA31-E2B7394AD8BE}"/>
    <hyperlink ref="E96" r:id="rId93" xr:uid="{29ED4C85-7EBD-4A4A-8323-33E881EC9341}"/>
    <hyperlink ref="E97" r:id="rId94" xr:uid="{FD7A0A91-5E20-4F34-9D96-856AEA5084A9}"/>
    <hyperlink ref="E98" r:id="rId95" xr:uid="{BD112F21-8438-4C93-9633-CFCCFF0512A2}"/>
    <hyperlink ref="E95" r:id="rId96" xr:uid="{62B6E73C-2C08-4C68-B0D8-0A11EBCA285C}"/>
    <hyperlink ref="E99" r:id="rId97" xr:uid="{A043D634-BC0C-4CC6-B792-FC1C69D0EA52}"/>
    <hyperlink ref="E100" r:id="rId98" xr:uid="{E70A9183-5382-4CF1-B47B-398E3DF2E5B4}"/>
    <hyperlink ref="E101" r:id="rId99" xr:uid="{FF85B325-5699-4D3D-AD53-DE00B5F2C07D}"/>
    <hyperlink ref="E102" r:id="rId100" xr:uid="{488BA03F-BB37-4289-9020-B24D25825A6A}"/>
    <hyperlink ref="E103" r:id="rId101" xr:uid="{996AD78F-48C9-437C-A8A3-BCB03F7CD66C}"/>
    <hyperlink ref="E104" r:id="rId102" xr:uid="{0649E8A4-49C6-4EB8-BB0B-11985B99017F}"/>
    <hyperlink ref="E105" r:id="rId103" xr:uid="{3235949B-08E2-4F72-8552-88571C5D8CBE}"/>
    <hyperlink ref="E106" r:id="rId104" xr:uid="{DE86D972-AAA9-4AF5-85D1-31D9DFB0D8F7}"/>
    <hyperlink ref="E107" r:id="rId105" xr:uid="{F6DD1F78-EBA1-41F0-B0DC-BF14F25A595C}"/>
    <hyperlink ref="E108" r:id="rId106" xr:uid="{F3491067-A327-4F3D-AEB1-FEFAB4E06E23}"/>
    <hyperlink ref="E109" r:id="rId107" xr:uid="{E3E2F005-2D97-47E6-BE89-4CC6225D9A27}"/>
    <hyperlink ref="E110" r:id="rId108" xr:uid="{E84F9144-736F-4108-8311-16014149A0D5}"/>
    <hyperlink ref="E111" r:id="rId109" xr:uid="{0E40577A-9EBA-4366-B1F7-168B219880F8}"/>
    <hyperlink ref="E112" r:id="rId110" xr:uid="{C0E9F488-B31B-4AFC-BF14-1AEB27FFA95D}"/>
    <hyperlink ref="E88" r:id="rId111" xr:uid="{015FC95E-8EAF-4E24-80E2-4FE3E3F474A6}"/>
    <hyperlink ref="E113" r:id="rId112" xr:uid="{124788F6-C6D3-4AEF-BDBC-C272E6B6DCC0}"/>
  </hyperlinks>
  <pageMargins left="0.7" right="0.7" top="0.75" bottom="0.75" header="0.3" footer="0.3"/>
  <pageSetup orientation="portrait" r:id="rId11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9CE37-A144-45AD-9983-E6182ED6290E}">
  <dimension ref="A1:O108"/>
  <sheetViews>
    <sheetView zoomScale="115" zoomScaleNormal="115" workbookViewId="0">
      <pane xSplit="2" ySplit="1" topLeftCell="C2" activePane="bottomRight" state="frozen"/>
      <selection pane="topRight"/>
      <selection pane="bottomLeft"/>
      <selection pane="bottomRight" activeCell="F2" sqref="F2"/>
    </sheetView>
  </sheetViews>
  <sheetFormatPr defaultRowHeight="15" x14ac:dyDescent="0.25"/>
  <cols>
    <col min="1" max="1" width="9.85546875" customWidth="1"/>
    <col min="2" max="2" width="25.42578125" customWidth="1"/>
    <col min="3" max="3" width="34.85546875" customWidth="1"/>
    <col min="4" max="4" width="9.7109375" customWidth="1"/>
    <col min="5" max="5" width="12.28515625" customWidth="1"/>
    <col min="6" max="6" width="9.85546875" customWidth="1"/>
    <col min="7" max="7" width="15.28515625" customWidth="1"/>
    <col min="8" max="8" width="11.28515625" customWidth="1"/>
    <col min="9" max="9" width="28" customWidth="1"/>
    <col min="10" max="11" width="21.42578125" customWidth="1"/>
    <col min="12" max="12" width="13.85546875" customWidth="1"/>
    <col min="13" max="13" width="3.7109375" customWidth="1"/>
    <col min="14" max="14" width="14.5703125" customWidth="1"/>
    <col min="15" max="15" width="14.42578125" customWidth="1"/>
  </cols>
  <sheetData>
    <row r="1" spans="1:15" ht="39" customHeight="1" x14ac:dyDescent="0.25">
      <c r="A1" s="112" t="s">
        <v>504</v>
      </c>
      <c r="B1" s="112" t="s">
        <v>505</v>
      </c>
      <c r="C1" s="112" t="s">
        <v>3</v>
      </c>
      <c r="D1" s="112" t="s">
        <v>9</v>
      </c>
      <c r="E1" s="112" t="s">
        <v>12</v>
      </c>
      <c r="F1" s="112" t="s">
        <v>506</v>
      </c>
      <c r="G1" s="112" t="s">
        <v>507</v>
      </c>
      <c r="H1" s="112" t="s">
        <v>508</v>
      </c>
      <c r="I1" s="112" t="s">
        <v>509</v>
      </c>
      <c r="J1" s="112" t="s">
        <v>13</v>
      </c>
      <c r="K1" s="112" t="s">
        <v>510</v>
      </c>
      <c r="L1" s="112" t="s">
        <v>511</v>
      </c>
      <c r="M1" s="56"/>
      <c r="N1" s="112" t="s">
        <v>512</v>
      </c>
      <c r="O1" s="112" t="s">
        <v>513</v>
      </c>
    </row>
    <row r="2" spans="1:15" x14ac:dyDescent="0.25">
      <c r="A2" s="114">
        <f>KhoiVTM!A2</f>
        <v>1</v>
      </c>
      <c r="B2" s="114" t="str">
        <f>KhoiVTM!C2</f>
        <v>AD9834BRUZ-REEL7</v>
      </c>
      <c r="C2" s="114" t="str">
        <f>KhoiVTM!D2</f>
        <v>IC DDS 50MHZ 10BIT 20TSSOP</v>
      </c>
      <c r="D2" s="114" t="s">
        <v>514</v>
      </c>
      <c r="E2" s="113" t="s">
        <v>23</v>
      </c>
      <c r="F2" s="114">
        <f>KhoiVTM!F2</f>
        <v>4</v>
      </c>
      <c r="G2" s="114">
        <f>Kicad_Extract!D62</f>
        <v>1</v>
      </c>
      <c r="H2" s="114">
        <v>0</v>
      </c>
      <c r="I2" s="114">
        <f t="shared" ref="I2:I33" si="0">F2-H2</f>
        <v>4</v>
      </c>
      <c r="J2" s="58" t="str">
        <f t="shared" ref="J2:J33" si="1">IF(LEFT(C2,3)="RES", "Resistor", IF(LEFT(C2,3)="CAP", "Capacitor", "Other"))</f>
        <v>Other</v>
      </c>
      <c r="K2" s="62" t="s">
        <v>25</v>
      </c>
      <c r="L2" s="114" t="s">
        <v>515</v>
      </c>
      <c r="M2" s="56"/>
      <c r="N2" s="57" t="str">
        <f>IFERROR(IF(ISERROR(MATCH(B2,KhoiVTM!$C:$C,0)),"Not Found",IF((EXACT(C2,IFERROR(INDEX(KhoiVTM!$D:$D,MATCH(B2,KhoiVTM!$C:$C,0)),"__NA__"))*1)+(IFERROR(F2=INDEX(KhoiVTM!$F:$F,MATCH(B2,KhoiVTM!$C:$C,0)),FALSE())*1)+(IFERROR(OR(AND(OR(D2="—",D2=""),OR(TEXT(INDEX(KhoiVTM!$J:$J,MATCH(B2,KhoiVTM!$C:$C,0)),"@")="",TEXT(INDEX(KhoiVTM!$J:$J,MATCH(B2,KhoiVTM!$C:$C,0)),"@")="—")),EXACT(TEXT(D2,"@"),TEXT(INDEX(KhoiVTM!$J:$J,MATCH(B2,KhoiVTM!$C:$C,0)),"@"))),FALSE())*1)+(IFERROR(OR(AND(OR(E2="—",E2=""),OR(TEXT(INDEX(KhoiVTM!$M:$M,MATCH(B2,KhoiVTM!$C:$C,0)),"@")="",TEXT(INDEX(KhoiVTM!$M:$M,MATCH(B2,KhoiVTM!$C:$C,0)),"@")="—")),EXACT(TEXT(E2,"@"),TEXT(INDEX(KhoiVTM!$M:$M,MATCH(B2,KhoiVTM!$C:$C,0)),"@"))),FALSE())*1)=4,"Match",IF((EXACT(C2,IFERROR(INDEX(KhoiVTM!$D:$D,MATCH(B2,KhoiVTM!$C:$C,0)),"__NA__"))*1)+(IFERROR(F2=INDEX(KhoiVTM!$F:$F,MATCH(B2,KhoiVTM!$C:$C,0)),FALSE())*1)+(IFERROR(OR(AND(OR(D2="—",D2=""),OR(TEXT(INDEX(KhoiVTM!$J:$J,MATCH(B2,KhoiVTM!$C:$C,0)),"@")="",TEXT(INDEX(KhoiVTM!$J:$J,MATCH(B2,KhoiVTM!$C:$C,0)),"@")="—")),EXACT(TEXT(D2,"@"),TEXT(INDEX(KhoiVTM!$J:$J,MATCH(B2,KhoiVTM!$C:$C,0)),"@"))),FALSE())*1)+(IFERROR(OR(AND(OR(E2="—",E2=""),OR(TEXT(INDEX(KhoiVTM!$M:$M,MATCH(B2,KhoiVTM!$C:$C,0)),"@")="",TEXT(INDEX(KhoiVTM!$M:$M,MATCH(B2,KhoiVTM!$C:$C,0)),"@")="—")),EXACT(TEXT(E2,"@"),TEXT(INDEX(KhoiVTM!$M:$M,MATCH(B2,KhoiVTM!$C:$C,0)),"@"))),FALSE())*1)&gt;=3,"Partial","Mismatch"))),"Not Found")</f>
        <v>Partial</v>
      </c>
    </row>
    <row r="3" spans="1:15" x14ac:dyDescent="0.25">
      <c r="A3" s="114">
        <f>KhoiVTM!A3</f>
        <v>2</v>
      </c>
      <c r="B3" s="114" t="str">
        <f>KhoiVTM!C3</f>
        <v>AD8302ARUZ</v>
      </c>
      <c r="C3" s="114" t="str">
        <f>KhoiVTM!D3</f>
        <v>IC RF DETECT 2.7GHZ 14TSSOP</v>
      </c>
      <c r="D3" s="114" t="s">
        <v>514</v>
      </c>
      <c r="E3" s="113" t="s">
        <v>32</v>
      </c>
      <c r="F3" s="114">
        <f>KhoiVTM!F3</f>
        <v>4</v>
      </c>
      <c r="G3" s="114">
        <v>1</v>
      </c>
      <c r="H3" s="114">
        <v>0</v>
      </c>
      <c r="I3" s="114">
        <f t="shared" si="0"/>
        <v>4</v>
      </c>
      <c r="J3" s="58" t="str">
        <f t="shared" si="1"/>
        <v>Other</v>
      </c>
      <c r="K3" s="62" t="s">
        <v>25</v>
      </c>
      <c r="L3" s="114" t="s">
        <v>515</v>
      </c>
      <c r="M3" s="56"/>
      <c r="N3" s="57" t="str">
        <f>IFERROR(IF(ISERROR(MATCH(B3,KhoiVTM!$C:$C,0)),"Not Found",IF((EXACT(C3,IFERROR(INDEX(KhoiVTM!$D:$D,MATCH(B3,KhoiVTM!$C:$C,0)),"__NA__"))*1)+(IFERROR(F3=INDEX(KhoiVTM!$F:$F,MATCH(B3,KhoiVTM!$C:$C,0)),FALSE())*1)+(IFERROR(OR(AND(OR(D3="—",D3=""),OR(TEXT(INDEX(KhoiVTM!$J:$J,MATCH(B3,KhoiVTM!$C:$C,0)),"@")="",TEXT(INDEX(KhoiVTM!$J:$J,MATCH(B3,KhoiVTM!$C:$C,0)),"@")="—")),EXACT(TEXT(D3,"@"),TEXT(INDEX(KhoiVTM!$J:$J,MATCH(B3,KhoiVTM!$C:$C,0)),"@"))),FALSE())*1)+(IFERROR(OR(AND(OR(E3="—",E3=""),OR(TEXT(INDEX(KhoiVTM!$M:$M,MATCH(B3,KhoiVTM!$C:$C,0)),"@")="",TEXT(INDEX(KhoiVTM!$M:$M,MATCH(B3,KhoiVTM!$C:$C,0)),"@")="—")),EXACT(TEXT(E3,"@"),TEXT(INDEX(KhoiVTM!$M:$M,MATCH(B3,KhoiVTM!$C:$C,0)),"@"))),FALSE())*1)=4,"Match",IF((EXACT(C3,IFERROR(INDEX(KhoiVTM!$D:$D,MATCH(B3,KhoiVTM!$C:$C,0)),"__NA__"))*1)+(IFERROR(F3=INDEX(KhoiVTM!$F:$F,MATCH(B3,KhoiVTM!$C:$C,0)),FALSE())*1)+(IFERROR(OR(AND(OR(D3="—",D3=""),OR(TEXT(INDEX(KhoiVTM!$J:$J,MATCH(B3,KhoiVTM!$C:$C,0)),"@")="",TEXT(INDEX(KhoiVTM!$J:$J,MATCH(B3,KhoiVTM!$C:$C,0)),"@")="—")),EXACT(TEXT(D3,"@"),TEXT(INDEX(KhoiVTM!$J:$J,MATCH(B3,KhoiVTM!$C:$C,0)),"@"))),FALSE())*1)+(IFERROR(OR(AND(OR(E3="—",E3=""),OR(TEXT(INDEX(KhoiVTM!$M:$M,MATCH(B3,KhoiVTM!$C:$C,0)),"@")="",TEXT(INDEX(KhoiVTM!$M:$M,MATCH(B3,KhoiVTM!$C:$C,0)),"@")="—")),EXACT(TEXT(E3,"@"),TEXT(INDEX(KhoiVTM!$M:$M,MATCH(B3,KhoiVTM!$C:$C,0)),"@"))),FALSE())*1)&gt;=3,"Partial","Mismatch"))),"Not Found")</f>
        <v>Partial</v>
      </c>
    </row>
    <row r="4" spans="1:15" x14ac:dyDescent="0.25">
      <c r="A4" s="114">
        <f>KhoiVTM!A4</f>
        <v>3</v>
      </c>
      <c r="B4" s="114" t="str">
        <f>KhoiVTM!C4</f>
        <v>STM32F411RET6</v>
      </c>
      <c r="C4" s="114" t="str">
        <f>KhoiVTM!D4</f>
        <v>IC MCU 32BIT 512KB FLASH 64LQFP</v>
      </c>
      <c r="D4" s="114" t="s">
        <v>514</v>
      </c>
      <c r="E4" s="113" t="s">
        <v>38</v>
      </c>
      <c r="F4" s="114">
        <f>KhoiVTM!F4</f>
        <v>2</v>
      </c>
      <c r="G4" s="114">
        <v>0</v>
      </c>
      <c r="H4" s="114">
        <v>0</v>
      </c>
      <c r="I4" s="114">
        <f t="shared" si="0"/>
        <v>2</v>
      </c>
      <c r="J4" s="58" t="str">
        <f t="shared" si="1"/>
        <v>Other</v>
      </c>
      <c r="K4" s="62" t="s">
        <v>25</v>
      </c>
      <c r="L4" s="114" t="s">
        <v>515</v>
      </c>
      <c r="M4" s="56"/>
      <c r="N4" s="57" t="str">
        <f>IFERROR(IF(ISERROR(MATCH(B4,KhoiVTM!$C:$C,0)),"Not Found",IF((EXACT(C4,IFERROR(INDEX(KhoiVTM!$D:$D,MATCH(B4,KhoiVTM!$C:$C,0)),"__NA__"))*1)+(IFERROR(F4=INDEX(KhoiVTM!$F:$F,MATCH(B4,KhoiVTM!$C:$C,0)),FALSE())*1)+(IFERROR(OR(AND(OR(D4="—",D4=""),OR(TEXT(INDEX(KhoiVTM!$J:$J,MATCH(B4,KhoiVTM!$C:$C,0)),"@")="",TEXT(INDEX(KhoiVTM!$J:$J,MATCH(B4,KhoiVTM!$C:$C,0)),"@")="—")),EXACT(TEXT(D4,"@"),TEXT(INDEX(KhoiVTM!$J:$J,MATCH(B4,KhoiVTM!$C:$C,0)),"@"))),FALSE())*1)+(IFERROR(OR(AND(OR(E4="—",E4=""),OR(TEXT(INDEX(KhoiVTM!$M:$M,MATCH(B4,KhoiVTM!$C:$C,0)),"@")="",TEXT(INDEX(KhoiVTM!$M:$M,MATCH(B4,KhoiVTM!$C:$C,0)),"@")="—")),EXACT(TEXT(E4,"@"),TEXT(INDEX(KhoiVTM!$M:$M,MATCH(B4,KhoiVTM!$C:$C,0)),"@"))),FALSE())*1)=4,"Match",IF((EXACT(C4,IFERROR(INDEX(KhoiVTM!$D:$D,MATCH(B4,KhoiVTM!$C:$C,0)),"__NA__"))*1)+(IFERROR(F4=INDEX(KhoiVTM!$F:$F,MATCH(B4,KhoiVTM!$C:$C,0)),FALSE())*1)+(IFERROR(OR(AND(OR(D4="—",D4=""),OR(TEXT(INDEX(KhoiVTM!$J:$J,MATCH(B4,KhoiVTM!$C:$C,0)),"@")="",TEXT(INDEX(KhoiVTM!$J:$J,MATCH(B4,KhoiVTM!$C:$C,0)),"@")="—")),EXACT(TEXT(D4,"@"),TEXT(INDEX(KhoiVTM!$J:$J,MATCH(B4,KhoiVTM!$C:$C,0)),"@"))),FALSE())*1)+(IFERROR(OR(AND(OR(E4="—",E4=""),OR(TEXT(INDEX(KhoiVTM!$M:$M,MATCH(B4,KhoiVTM!$C:$C,0)),"@")="",TEXT(INDEX(KhoiVTM!$M:$M,MATCH(B4,KhoiVTM!$C:$C,0)),"@")="—")),EXACT(TEXT(E4,"@"),TEXT(INDEX(KhoiVTM!$M:$M,MATCH(B4,KhoiVTM!$C:$C,0)),"@"))),FALSE())*1)&gt;=3,"Partial","Mismatch"))),"Not Found")</f>
        <v>Partial</v>
      </c>
    </row>
    <row r="5" spans="1:15" x14ac:dyDescent="0.25">
      <c r="A5" s="114">
        <f>KhoiVTM!A5</f>
        <v>4</v>
      </c>
      <c r="B5" s="114" t="str">
        <f>KhoiVTM!C5</f>
        <v>AD8130ARMZ-REEL</v>
      </c>
      <c r="C5" s="114" t="str">
        <f>KhoiVTM!D5</f>
        <v>IC OPAMP DIFF 1 CIRCUIT 8MSOP</v>
      </c>
      <c r="D5" s="114" t="s">
        <v>514</v>
      </c>
      <c r="E5" s="113" t="s">
        <v>45</v>
      </c>
      <c r="F5" s="114">
        <f>KhoiVTM!F5</f>
        <v>6</v>
      </c>
      <c r="G5" s="114">
        <v>4</v>
      </c>
      <c r="H5" s="114">
        <v>0</v>
      </c>
      <c r="I5" s="114">
        <f t="shared" si="0"/>
        <v>6</v>
      </c>
      <c r="J5" s="58" t="str">
        <f t="shared" si="1"/>
        <v>Other</v>
      </c>
      <c r="K5" s="62" t="s">
        <v>299</v>
      </c>
      <c r="L5" s="114"/>
      <c r="M5" s="56"/>
      <c r="N5" s="57" t="str">
        <f>IFERROR(IF(ISERROR(MATCH(B5,KhoiVTM!$C:$C,0)),"Not Found",IF((EXACT(C5,IFERROR(INDEX(KhoiVTM!$D:$D,MATCH(B5,KhoiVTM!$C:$C,0)),"__NA__"))*1)+(IFERROR(F5=INDEX(KhoiVTM!$F:$F,MATCH(B5,KhoiVTM!$C:$C,0)),FALSE())*1)+(IFERROR(OR(AND(OR(D5="—",D5=""),OR(TEXT(INDEX(KhoiVTM!$J:$J,MATCH(B5,KhoiVTM!$C:$C,0)),"@")="",TEXT(INDEX(KhoiVTM!$J:$J,MATCH(B5,KhoiVTM!$C:$C,0)),"@")="—")),EXACT(TEXT(D5,"@"),TEXT(INDEX(KhoiVTM!$J:$J,MATCH(B5,KhoiVTM!$C:$C,0)),"@"))),FALSE())*1)+(IFERROR(OR(AND(OR(E5="—",E5=""),OR(TEXT(INDEX(KhoiVTM!$M:$M,MATCH(B5,KhoiVTM!$C:$C,0)),"@")="",TEXT(INDEX(KhoiVTM!$M:$M,MATCH(B5,KhoiVTM!$C:$C,0)),"@")="—")),EXACT(TEXT(E5,"@"),TEXT(INDEX(KhoiVTM!$M:$M,MATCH(B5,KhoiVTM!$C:$C,0)),"@"))),FALSE())*1)=4,"Match",IF((EXACT(C5,IFERROR(INDEX(KhoiVTM!$D:$D,MATCH(B5,KhoiVTM!$C:$C,0)),"__NA__"))*1)+(IFERROR(F5=INDEX(KhoiVTM!$F:$F,MATCH(B5,KhoiVTM!$C:$C,0)),FALSE())*1)+(IFERROR(OR(AND(OR(D5="—",D5=""),OR(TEXT(INDEX(KhoiVTM!$J:$J,MATCH(B5,KhoiVTM!$C:$C,0)),"@")="",TEXT(INDEX(KhoiVTM!$J:$J,MATCH(B5,KhoiVTM!$C:$C,0)),"@")="—")),EXACT(TEXT(D5,"@"),TEXT(INDEX(KhoiVTM!$J:$J,MATCH(B5,KhoiVTM!$C:$C,0)),"@"))),FALSE())*1)+(IFERROR(OR(AND(OR(E5="—",E5=""),OR(TEXT(INDEX(KhoiVTM!$M:$M,MATCH(B5,KhoiVTM!$C:$C,0)),"@")="",TEXT(INDEX(KhoiVTM!$M:$M,MATCH(B5,KhoiVTM!$C:$C,0)),"@")="—")),EXACT(TEXT(E5,"@"),TEXT(INDEX(KhoiVTM!$M:$M,MATCH(B5,KhoiVTM!$C:$C,0)),"@"))),FALSE())*1)&gt;=3,"Partial","Mismatch"))),"Not Found")</f>
        <v>Partial</v>
      </c>
    </row>
    <row r="6" spans="1:15" x14ac:dyDescent="0.25">
      <c r="A6" s="114">
        <f>KhoiVTM!A6</f>
        <v>5</v>
      </c>
      <c r="B6" s="114" t="str">
        <f>KhoiVTM!C6</f>
        <v>TNPW06036K80BEEA</v>
      </c>
      <c r="C6" s="114" t="str">
        <f>KhoiVTM!D6</f>
        <v>RES 6.8K OHM 0.1% 0.21W 0603</v>
      </c>
      <c r="D6" s="113" t="s">
        <v>516</v>
      </c>
      <c r="E6" s="113" t="str">
        <f t="shared" ref="E6:E31" si="2">RIGHT(TRIM(C6), 4)</f>
        <v>0603</v>
      </c>
      <c r="F6" s="114">
        <f>KhoiVTM!F6</f>
        <v>25</v>
      </c>
      <c r="G6" s="114">
        <f>Kicad_Extract!D35</f>
        <v>1</v>
      </c>
      <c r="H6" s="114">
        <v>0</v>
      </c>
      <c r="I6" s="114">
        <f t="shared" si="0"/>
        <v>25</v>
      </c>
      <c r="J6" s="58" t="str">
        <f t="shared" si="1"/>
        <v>Resistor</v>
      </c>
      <c r="K6" s="62" t="s">
        <v>25</v>
      </c>
      <c r="L6" s="114" t="s">
        <v>515</v>
      </c>
      <c r="M6" s="56"/>
      <c r="N6" s="57" t="str">
        <f>IFERROR(IF(ISERROR(MATCH(B6,KhoiVTM!$C:$C,0)),"Not Found",IF((EXACT(C6,IFERROR(INDEX(KhoiVTM!$D:$D,MATCH(B6,KhoiVTM!$C:$C,0)),"__NA__"))*1)+(IFERROR(F6=INDEX(KhoiVTM!$F:$F,MATCH(B6,KhoiVTM!$C:$C,0)),FALSE())*1)+(IFERROR(OR(AND(OR(D6="—",D6=""),OR(TEXT(INDEX(KhoiVTM!$J:$J,MATCH(B6,KhoiVTM!$C:$C,0)),"@")="",TEXT(INDEX(KhoiVTM!$J:$J,MATCH(B6,KhoiVTM!$C:$C,0)),"@")="—")),EXACT(TEXT(D6,"@"),TEXT(INDEX(KhoiVTM!$J:$J,MATCH(B6,KhoiVTM!$C:$C,0)),"@"))),FALSE())*1)+(IFERROR(OR(AND(OR(E6="—",E6=""),OR(TEXT(INDEX(KhoiVTM!$M:$M,MATCH(B6,KhoiVTM!$C:$C,0)),"@")="",TEXT(INDEX(KhoiVTM!$M:$M,MATCH(B6,KhoiVTM!$C:$C,0)),"@")="—")),EXACT(TEXT(E6,"@"),TEXT(INDEX(KhoiVTM!$M:$M,MATCH(B6,KhoiVTM!$C:$C,0)),"@"))),FALSE())*1)=4,"Match",IF((EXACT(C6,IFERROR(INDEX(KhoiVTM!$D:$D,MATCH(B6,KhoiVTM!$C:$C,0)),"__NA__"))*1)+(IFERROR(F6=INDEX(KhoiVTM!$F:$F,MATCH(B6,KhoiVTM!$C:$C,0)),FALSE())*1)+(IFERROR(OR(AND(OR(D6="—",D6=""),OR(TEXT(INDEX(KhoiVTM!$J:$J,MATCH(B6,KhoiVTM!$C:$C,0)),"@")="",TEXT(INDEX(KhoiVTM!$J:$J,MATCH(B6,KhoiVTM!$C:$C,0)),"@")="—")),EXACT(TEXT(D6,"@"),TEXT(INDEX(KhoiVTM!$J:$J,MATCH(B6,KhoiVTM!$C:$C,0)),"@"))),FALSE())*1)+(IFERROR(OR(AND(OR(E6="—",E6=""),OR(TEXT(INDEX(KhoiVTM!$M:$M,MATCH(B6,KhoiVTM!$C:$C,0)),"@")="",TEXT(INDEX(KhoiVTM!$M:$M,MATCH(B6,KhoiVTM!$C:$C,0)),"@")="—")),EXACT(TEXT(E6,"@"),TEXT(INDEX(KhoiVTM!$M:$M,MATCH(B6,KhoiVTM!$C:$C,0)),"@"))),FALSE())*1)&gt;=3,"Partial","Mismatch"))),"Not Found")</f>
        <v>Match</v>
      </c>
    </row>
    <row r="7" spans="1:15" x14ac:dyDescent="0.25">
      <c r="A7" s="114">
        <f>KhoiVTM!A7</f>
        <v>6</v>
      </c>
      <c r="B7" s="114" t="str">
        <f>KhoiVTM!C7</f>
        <v>TNPW0603200RBEEA</v>
      </c>
      <c r="C7" s="114" t="str">
        <f>KhoiVTM!D7</f>
        <v>RES 200 OHM 0.1% 0.21W 0603</v>
      </c>
      <c r="D7" s="113">
        <v>200</v>
      </c>
      <c r="E7" s="113" t="str">
        <f t="shared" si="2"/>
        <v>0603</v>
      </c>
      <c r="F7" s="114">
        <f>KhoiVTM!F7</f>
        <v>25</v>
      </c>
      <c r="G7" s="114">
        <v>2</v>
      </c>
      <c r="H7" s="114">
        <v>0</v>
      </c>
      <c r="I7" s="114">
        <f t="shared" si="0"/>
        <v>25</v>
      </c>
      <c r="J7" s="58" t="str">
        <f t="shared" si="1"/>
        <v>Resistor</v>
      </c>
      <c r="K7" s="62" t="s">
        <v>25</v>
      </c>
      <c r="L7" s="114" t="s">
        <v>515</v>
      </c>
      <c r="M7" s="56"/>
      <c r="N7" s="57" t="str">
        <f>IFERROR(IF(ISERROR(MATCH(B7,KhoiVTM!$C:$C,0)),"Not Found",IF((EXACT(C7,IFERROR(INDEX(KhoiVTM!$D:$D,MATCH(B7,KhoiVTM!$C:$C,0)),"__NA__"))*1)+(IFERROR(F7=INDEX(KhoiVTM!$F:$F,MATCH(B7,KhoiVTM!$C:$C,0)),FALSE())*1)+(IFERROR(OR(AND(OR(D7="—",D7=""),OR(TEXT(INDEX(KhoiVTM!$J:$J,MATCH(B7,KhoiVTM!$C:$C,0)),"@")="",TEXT(INDEX(KhoiVTM!$J:$J,MATCH(B7,KhoiVTM!$C:$C,0)),"@")="—")),EXACT(TEXT(D7,"@"),TEXT(INDEX(KhoiVTM!$J:$J,MATCH(B7,KhoiVTM!$C:$C,0)),"@"))),FALSE())*1)+(IFERROR(OR(AND(OR(E7="—",E7=""),OR(TEXT(INDEX(KhoiVTM!$M:$M,MATCH(B7,KhoiVTM!$C:$C,0)),"@")="",TEXT(INDEX(KhoiVTM!$M:$M,MATCH(B7,KhoiVTM!$C:$C,0)),"@")="—")),EXACT(TEXT(E7,"@"),TEXT(INDEX(KhoiVTM!$M:$M,MATCH(B7,KhoiVTM!$C:$C,0)),"@"))),FALSE())*1)=4,"Match",IF((EXACT(C7,IFERROR(INDEX(KhoiVTM!$D:$D,MATCH(B7,KhoiVTM!$C:$C,0)),"__NA__"))*1)+(IFERROR(F7=INDEX(KhoiVTM!$F:$F,MATCH(B7,KhoiVTM!$C:$C,0)),FALSE())*1)+(IFERROR(OR(AND(OR(D7="—",D7=""),OR(TEXT(INDEX(KhoiVTM!$J:$J,MATCH(B7,KhoiVTM!$C:$C,0)),"@")="",TEXT(INDEX(KhoiVTM!$J:$J,MATCH(B7,KhoiVTM!$C:$C,0)),"@")="—")),EXACT(TEXT(D7,"@"),TEXT(INDEX(KhoiVTM!$J:$J,MATCH(B7,KhoiVTM!$C:$C,0)),"@"))),FALSE())*1)+(IFERROR(OR(AND(OR(E7="—",E7=""),OR(TEXT(INDEX(KhoiVTM!$M:$M,MATCH(B7,KhoiVTM!$C:$C,0)),"@")="",TEXT(INDEX(KhoiVTM!$M:$M,MATCH(B7,KhoiVTM!$C:$C,0)),"@")="—")),EXACT(TEXT(E7,"@"),TEXT(INDEX(KhoiVTM!$M:$M,MATCH(B7,KhoiVTM!$C:$C,0)),"@"))),FALSE())*1)&gt;=3,"Partial","Mismatch"))),"Not Found")</f>
        <v>Match</v>
      </c>
    </row>
    <row r="8" spans="1:15" x14ac:dyDescent="0.25">
      <c r="A8" s="114">
        <f>KhoiVTM!A8</f>
        <v>7</v>
      </c>
      <c r="B8" s="114" t="str">
        <f>KhoiVTM!C8</f>
        <v>TNPW0603280RBEEA</v>
      </c>
      <c r="C8" s="114" t="str">
        <f>KhoiVTM!D8</f>
        <v>RES 280 OHM 0.1% 0.21W 0603</v>
      </c>
      <c r="D8" s="113">
        <v>280</v>
      </c>
      <c r="E8" s="113" t="str">
        <f t="shared" si="2"/>
        <v>0603</v>
      </c>
      <c r="F8" s="114">
        <f>KhoiVTM!F8</f>
        <v>25</v>
      </c>
      <c r="G8" s="114">
        <v>0</v>
      </c>
      <c r="H8" s="114">
        <v>0</v>
      </c>
      <c r="I8" s="114">
        <f t="shared" si="0"/>
        <v>25</v>
      </c>
      <c r="J8" s="58" t="str">
        <f t="shared" si="1"/>
        <v>Resistor</v>
      </c>
      <c r="K8" s="62" t="s">
        <v>25</v>
      </c>
      <c r="L8" s="114" t="s">
        <v>515</v>
      </c>
      <c r="M8" s="56"/>
      <c r="N8" s="57" t="str">
        <f>IFERROR(IF(ISERROR(MATCH(B8,KhoiVTM!$C:$C,0)),"Not Found",IF((EXACT(C8,IFERROR(INDEX(KhoiVTM!$D:$D,MATCH(B8,KhoiVTM!$C:$C,0)),"__NA__"))*1)+(IFERROR(F8=INDEX(KhoiVTM!$F:$F,MATCH(B8,KhoiVTM!$C:$C,0)),FALSE())*1)+(IFERROR(OR(AND(OR(D8="—",D8=""),OR(TEXT(INDEX(KhoiVTM!$J:$J,MATCH(B8,KhoiVTM!$C:$C,0)),"@")="",TEXT(INDEX(KhoiVTM!$J:$J,MATCH(B8,KhoiVTM!$C:$C,0)),"@")="—")),EXACT(TEXT(D8,"@"),TEXT(INDEX(KhoiVTM!$J:$J,MATCH(B8,KhoiVTM!$C:$C,0)),"@"))),FALSE())*1)+(IFERROR(OR(AND(OR(E8="—",E8=""),OR(TEXT(INDEX(KhoiVTM!$M:$M,MATCH(B8,KhoiVTM!$C:$C,0)),"@")="",TEXT(INDEX(KhoiVTM!$M:$M,MATCH(B8,KhoiVTM!$C:$C,0)),"@")="—")),EXACT(TEXT(E8,"@"),TEXT(INDEX(KhoiVTM!$M:$M,MATCH(B8,KhoiVTM!$C:$C,0)),"@"))),FALSE())*1)=4,"Match",IF((EXACT(C8,IFERROR(INDEX(KhoiVTM!$D:$D,MATCH(B8,KhoiVTM!$C:$C,0)),"__NA__"))*1)+(IFERROR(F8=INDEX(KhoiVTM!$F:$F,MATCH(B8,KhoiVTM!$C:$C,0)),FALSE())*1)+(IFERROR(OR(AND(OR(D8="—",D8=""),OR(TEXT(INDEX(KhoiVTM!$J:$J,MATCH(B8,KhoiVTM!$C:$C,0)),"@")="",TEXT(INDEX(KhoiVTM!$J:$J,MATCH(B8,KhoiVTM!$C:$C,0)),"@")="—")),EXACT(TEXT(D8,"@"),TEXT(INDEX(KhoiVTM!$J:$J,MATCH(B8,KhoiVTM!$C:$C,0)),"@"))),FALSE())*1)+(IFERROR(OR(AND(OR(E8="—",E8=""),OR(TEXT(INDEX(KhoiVTM!$M:$M,MATCH(B8,KhoiVTM!$C:$C,0)),"@")="",TEXT(INDEX(KhoiVTM!$M:$M,MATCH(B8,KhoiVTM!$C:$C,0)),"@")="—")),EXACT(TEXT(E8,"@"),TEXT(INDEX(KhoiVTM!$M:$M,MATCH(B8,KhoiVTM!$C:$C,0)),"@"))),FALSE())*1)&gt;=3,"Partial","Mismatch"))),"Not Found")</f>
        <v>Match</v>
      </c>
    </row>
    <row r="9" spans="1:15" x14ac:dyDescent="0.25">
      <c r="A9" s="114">
        <f>KhoiVTM!A9</f>
        <v>8</v>
      </c>
      <c r="B9" s="114" t="str">
        <f>KhoiVTM!C9</f>
        <v>TNP1.00KAATR-ND</v>
      </c>
      <c r="C9" s="114" t="str">
        <f>KhoiVTM!D9</f>
        <v>RES 1K OHM 0.1% 0.21W 0603</v>
      </c>
      <c r="D9" s="113" t="s">
        <v>517</v>
      </c>
      <c r="E9" s="113" t="str">
        <f t="shared" si="2"/>
        <v>0603</v>
      </c>
      <c r="F9" s="114">
        <f>KhoiVTM!F9</f>
        <v>25</v>
      </c>
      <c r="G9" s="114">
        <v>2</v>
      </c>
      <c r="H9" s="114">
        <v>0</v>
      </c>
      <c r="I9" s="114">
        <f t="shared" si="0"/>
        <v>25</v>
      </c>
      <c r="J9" s="58" t="str">
        <f t="shared" si="1"/>
        <v>Resistor</v>
      </c>
      <c r="K9" s="62" t="s">
        <v>25</v>
      </c>
      <c r="L9" s="114" t="s">
        <v>515</v>
      </c>
      <c r="M9" s="56"/>
      <c r="N9" s="57" t="str">
        <f>IFERROR(IF(ISERROR(MATCH(B9,KhoiVTM!$C:$C,0)),"Not Found",IF((EXACT(C9,IFERROR(INDEX(KhoiVTM!$D:$D,MATCH(B9,KhoiVTM!$C:$C,0)),"__NA__"))*1)+(IFERROR(F9=INDEX(KhoiVTM!$F:$F,MATCH(B9,KhoiVTM!$C:$C,0)),FALSE())*1)+(IFERROR(OR(AND(OR(D9="—",D9=""),OR(TEXT(INDEX(KhoiVTM!$J:$J,MATCH(B9,KhoiVTM!$C:$C,0)),"@")="",TEXT(INDEX(KhoiVTM!$J:$J,MATCH(B9,KhoiVTM!$C:$C,0)),"@")="—")),EXACT(TEXT(D9,"@"),TEXT(INDEX(KhoiVTM!$J:$J,MATCH(B9,KhoiVTM!$C:$C,0)),"@"))),FALSE())*1)+(IFERROR(OR(AND(OR(E9="—",E9=""),OR(TEXT(INDEX(KhoiVTM!$M:$M,MATCH(B9,KhoiVTM!$C:$C,0)),"@")="",TEXT(INDEX(KhoiVTM!$M:$M,MATCH(B9,KhoiVTM!$C:$C,0)),"@")="—")),EXACT(TEXT(E9,"@"),TEXT(INDEX(KhoiVTM!$M:$M,MATCH(B9,KhoiVTM!$C:$C,0)),"@"))),FALSE())*1)=4,"Match",IF((EXACT(C9,IFERROR(INDEX(KhoiVTM!$D:$D,MATCH(B9,KhoiVTM!$C:$C,0)),"__NA__"))*1)+(IFERROR(F9=INDEX(KhoiVTM!$F:$F,MATCH(B9,KhoiVTM!$C:$C,0)),FALSE())*1)+(IFERROR(OR(AND(OR(D9="—",D9=""),OR(TEXT(INDEX(KhoiVTM!$J:$J,MATCH(B9,KhoiVTM!$C:$C,0)),"@")="",TEXT(INDEX(KhoiVTM!$J:$J,MATCH(B9,KhoiVTM!$C:$C,0)),"@")="—")),EXACT(TEXT(D9,"@"),TEXT(INDEX(KhoiVTM!$J:$J,MATCH(B9,KhoiVTM!$C:$C,0)),"@"))),FALSE())*1)+(IFERROR(OR(AND(OR(E9="—",E9=""),OR(TEXT(INDEX(KhoiVTM!$M:$M,MATCH(B9,KhoiVTM!$C:$C,0)),"@")="",TEXT(INDEX(KhoiVTM!$M:$M,MATCH(B9,KhoiVTM!$C:$C,0)),"@")="—")),EXACT(TEXT(E9,"@"),TEXT(INDEX(KhoiVTM!$M:$M,MATCH(B9,KhoiVTM!$C:$C,0)),"@"))),FALSE())*1)&gt;=3,"Partial","Mismatch"))),"Not Found")</f>
        <v>Match</v>
      </c>
    </row>
    <row r="10" spans="1:15" x14ac:dyDescent="0.25">
      <c r="A10" s="114">
        <f>KhoiVTM!A10</f>
        <v>9</v>
      </c>
      <c r="B10" s="114" t="str">
        <f>KhoiVTM!C10</f>
        <v>RC0603FR-0722RL</v>
      </c>
      <c r="C10" s="114" t="str">
        <f>KhoiVTM!D10</f>
        <v>RES 22 OHM 1% 1/10W 0603</v>
      </c>
      <c r="D10" s="113">
        <v>22</v>
      </c>
      <c r="E10" s="113" t="str">
        <f t="shared" si="2"/>
        <v>0603</v>
      </c>
      <c r="F10" s="114">
        <f>KhoiVTM!F10</f>
        <v>25</v>
      </c>
      <c r="G10" s="114">
        <v>3</v>
      </c>
      <c r="H10" s="114">
        <v>0</v>
      </c>
      <c r="I10" s="114">
        <f t="shared" si="0"/>
        <v>25</v>
      </c>
      <c r="J10" s="58" t="str">
        <f t="shared" si="1"/>
        <v>Resistor</v>
      </c>
      <c r="K10" s="62" t="s">
        <v>25</v>
      </c>
      <c r="L10" s="114" t="s">
        <v>515</v>
      </c>
      <c r="M10" s="56"/>
      <c r="N10" s="57" t="str">
        <f>IFERROR(IF(ISERROR(MATCH(B10,KhoiVTM!$C:$C,0)),"Not Found",IF((EXACT(C10,IFERROR(INDEX(KhoiVTM!$D:$D,MATCH(B10,KhoiVTM!$C:$C,0)),"__NA__"))*1)+(IFERROR(F10=INDEX(KhoiVTM!$F:$F,MATCH(B10,KhoiVTM!$C:$C,0)),FALSE())*1)+(IFERROR(OR(AND(OR(D10="—",D10=""),OR(TEXT(INDEX(KhoiVTM!$J:$J,MATCH(B10,KhoiVTM!$C:$C,0)),"@")="",TEXT(INDEX(KhoiVTM!$J:$J,MATCH(B10,KhoiVTM!$C:$C,0)),"@")="—")),EXACT(TEXT(D10,"@"),TEXT(INDEX(KhoiVTM!$J:$J,MATCH(B10,KhoiVTM!$C:$C,0)),"@"))),FALSE())*1)+(IFERROR(OR(AND(OR(E10="—",E10=""),OR(TEXT(INDEX(KhoiVTM!$M:$M,MATCH(B10,KhoiVTM!$C:$C,0)),"@")="",TEXT(INDEX(KhoiVTM!$M:$M,MATCH(B10,KhoiVTM!$C:$C,0)),"@")="—")),EXACT(TEXT(E10,"@"),TEXT(INDEX(KhoiVTM!$M:$M,MATCH(B10,KhoiVTM!$C:$C,0)),"@"))),FALSE())*1)=4,"Match",IF((EXACT(C10,IFERROR(INDEX(KhoiVTM!$D:$D,MATCH(B10,KhoiVTM!$C:$C,0)),"__NA__"))*1)+(IFERROR(F10=INDEX(KhoiVTM!$F:$F,MATCH(B10,KhoiVTM!$C:$C,0)),FALSE())*1)+(IFERROR(OR(AND(OR(D10="—",D10=""),OR(TEXT(INDEX(KhoiVTM!$J:$J,MATCH(B10,KhoiVTM!$C:$C,0)),"@")="",TEXT(INDEX(KhoiVTM!$J:$J,MATCH(B10,KhoiVTM!$C:$C,0)),"@")="—")),EXACT(TEXT(D10,"@"),TEXT(INDEX(KhoiVTM!$J:$J,MATCH(B10,KhoiVTM!$C:$C,0)),"@"))),FALSE())*1)+(IFERROR(OR(AND(OR(E10="—",E10=""),OR(TEXT(INDEX(KhoiVTM!$M:$M,MATCH(B10,KhoiVTM!$C:$C,0)),"@")="",TEXT(INDEX(KhoiVTM!$M:$M,MATCH(B10,KhoiVTM!$C:$C,0)),"@")="—")),EXACT(TEXT(E10,"@"),TEXT(INDEX(KhoiVTM!$M:$M,MATCH(B10,KhoiVTM!$C:$C,0)),"@"))),FALSE())*1)&gt;=3,"Partial","Mismatch"))),"Not Found")</f>
        <v>Match</v>
      </c>
    </row>
    <row r="11" spans="1:15" x14ac:dyDescent="0.25">
      <c r="A11" s="114">
        <f>KhoiVTM!A11</f>
        <v>10</v>
      </c>
      <c r="B11" s="114" t="str">
        <f>KhoiVTM!C11</f>
        <v>RC0603JR-070RL</v>
      </c>
      <c r="C11" s="114" t="str">
        <f>KhoiVTM!D11</f>
        <v>RES 0 OHM JUMPER 1/10W 0603</v>
      </c>
      <c r="D11" s="113">
        <v>0</v>
      </c>
      <c r="E11" s="113" t="str">
        <f t="shared" si="2"/>
        <v>0603</v>
      </c>
      <c r="F11" s="114">
        <f>KhoiVTM!F11</f>
        <v>25</v>
      </c>
      <c r="G11" s="114">
        <v>6</v>
      </c>
      <c r="H11" s="114">
        <v>0</v>
      </c>
      <c r="I11" s="114">
        <f t="shared" si="0"/>
        <v>25</v>
      </c>
      <c r="J11" s="58" t="str">
        <f t="shared" si="1"/>
        <v>Resistor</v>
      </c>
      <c r="K11" s="62" t="s">
        <v>25</v>
      </c>
      <c r="L11" s="114" t="s">
        <v>515</v>
      </c>
      <c r="M11" s="56"/>
      <c r="N11" s="57" t="str">
        <f>IFERROR(IF(ISERROR(MATCH(B11,KhoiVTM!$C:$C,0)),"Not Found",IF((EXACT(C11,IFERROR(INDEX(KhoiVTM!$D:$D,MATCH(B11,KhoiVTM!$C:$C,0)),"__NA__"))*1)+(IFERROR(F11=INDEX(KhoiVTM!$F:$F,MATCH(B11,KhoiVTM!$C:$C,0)),FALSE())*1)+(IFERROR(OR(AND(OR(D11="—",D11=""),OR(TEXT(INDEX(KhoiVTM!$J:$J,MATCH(B11,KhoiVTM!$C:$C,0)),"@")="",TEXT(INDEX(KhoiVTM!$J:$J,MATCH(B11,KhoiVTM!$C:$C,0)),"@")="—")),EXACT(TEXT(D11,"@"),TEXT(INDEX(KhoiVTM!$J:$J,MATCH(B11,KhoiVTM!$C:$C,0)),"@"))),FALSE())*1)+(IFERROR(OR(AND(OR(E11="—",E11=""),OR(TEXT(INDEX(KhoiVTM!$M:$M,MATCH(B11,KhoiVTM!$C:$C,0)),"@")="",TEXT(INDEX(KhoiVTM!$M:$M,MATCH(B11,KhoiVTM!$C:$C,0)),"@")="—")),EXACT(TEXT(E11,"@"),TEXT(INDEX(KhoiVTM!$M:$M,MATCH(B11,KhoiVTM!$C:$C,0)),"@"))),FALSE())*1)=4,"Match",IF((EXACT(C11,IFERROR(INDEX(KhoiVTM!$D:$D,MATCH(B11,KhoiVTM!$C:$C,0)),"__NA__"))*1)+(IFERROR(F11=INDEX(KhoiVTM!$F:$F,MATCH(B11,KhoiVTM!$C:$C,0)),FALSE())*1)+(IFERROR(OR(AND(OR(D11="—",D11=""),OR(TEXT(INDEX(KhoiVTM!$J:$J,MATCH(B11,KhoiVTM!$C:$C,0)),"@")="",TEXT(INDEX(KhoiVTM!$J:$J,MATCH(B11,KhoiVTM!$C:$C,0)),"@")="—")),EXACT(TEXT(D11,"@"),TEXT(INDEX(KhoiVTM!$J:$J,MATCH(B11,KhoiVTM!$C:$C,0)),"@"))),FALSE())*1)+(IFERROR(OR(AND(OR(E11="—",E11=""),OR(TEXT(INDEX(KhoiVTM!$M:$M,MATCH(B11,KhoiVTM!$C:$C,0)),"@")="",TEXT(INDEX(KhoiVTM!$M:$M,MATCH(B11,KhoiVTM!$C:$C,0)),"@")="—")),EXACT(TEXT(E11,"@"),TEXT(INDEX(KhoiVTM!$M:$M,MATCH(B11,KhoiVTM!$C:$C,0)),"@"))),FALSE())*1)&gt;=3,"Partial","Mismatch"))),"Not Found")</f>
        <v>Match</v>
      </c>
    </row>
    <row r="12" spans="1:15" x14ac:dyDescent="0.25">
      <c r="A12" s="114">
        <f>KhoiVTM!A12</f>
        <v>11</v>
      </c>
      <c r="B12" s="114" t="str">
        <f>KhoiVTM!C12</f>
        <v>TNPW0603499RBEEA</v>
      </c>
      <c r="C12" s="114" t="str">
        <f>KhoiVTM!D12</f>
        <v>RES 499 OHM 0.1% 0.21W 0603</v>
      </c>
      <c r="D12" s="113">
        <v>499</v>
      </c>
      <c r="E12" s="113" t="str">
        <f t="shared" si="2"/>
        <v>0603</v>
      </c>
      <c r="F12" s="114">
        <f>KhoiVTM!F12</f>
        <v>25</v>
      </c>
      <c r="G12" s="114">
        <v>6</v>
      </c>
      <c r="H12" s="114">
        <v>0</v>
      </c>
      <c r="I12" s="114">
        <f t="shared" si="0"/>
        <v>25</v>
      </c>
      <c r="J12" s="58" t="str">
        <f t="shared" si="1"/>
        <v>Resistor</v>
      </c>
      <c r="K12" s="62" t="s">
        <v>25</v>
      </c>
      <c r="L12" s="114" t="s">
        <v>515</v>
      </c>
      <c r="M12" s="56"/>
      <c r="N12" s="57" t="str">
        <f>IFERROR(IF(ISERROR(MATCH(B12,KhoiVTM!$C:$C,0)),"Not Found",IF((EXACT(C12,IFERROR(INDEX(KhoiVTM!$D:$D,MATCH(B12,KhoiVTM!$C:$C,0)),"__NA__"))*1)+(IFERROR(F12=INDEX(KhoiVTM!$F:$F,MATCH(B12,KhoiVTM!$C:$C,0)),FALSE())*1)+(IFERROR(OR(AND(OR(D12="—",D12=""),OR(TEXT(INDEX(KhoiVTM!$J:$J,MATCH(B12,KhoiVTM!$C:$C,0)),"@")="",TEXT(INDEX(KhoiVTM!$J:$J,MATCH(B12,KhoiVTM!$C:$C,0)),"@")="—")),EXACT(TEXT(D12,"@"),TEXT(INDEX(KhoiVTM!$J:$J,MATCH(B12,KhoiVTM!$C:$C,0)),"@"))),FALSE())*1)+(IFERROR(OR(AND(OR(E12="—",E12=""),OR(TEXT(INDEX(KhoiVTM!$M:$M,MATCH(B12,KhoiVTM!$C:$C,0)),"@")="",TEXT(INDEX(KhoiVTM!$M:$M,MATCH(B12,KhoiVTM!$C:$C,0)),"@")="—")),EXACT(TEXT(E12,"@"),TEXT(INDEX(KhoiVTM!$M:$M,MATCH(B12,KhoiVTM!$C:$C,0)),"@"))),FALSE())*1)=4,"Match",IF((EXACT(C12,IFERROR(INDEX(KhoiVTM!$D:$D,MATCH(B12,KhoiVTM!$C:$C,0)),"__NA__"))*1)+(IFERROR(F12=INDEX(KhoiVTM!$F:$F,MATCH(B12,KhoiVTM!$C:$C,0)),FALSE())*1)+(IFERROR(OR(AND(OR(D12="—",D12=""),OR(TEXT(INDEX(KhoiVTM!$J:$J,MATCH(B12,KhoiVTM!$C:$C,0)),"@")="",TEXT(INDEX(KhoiVTM!$J:$J,MATCH(B12,KhoiVTM!$C:$C,0)),"@")="—")),EXACT(TEXT(D12,"@"),TEXT(INDEX(KhoiVTM!$J:$J,MATCH(B12,KhoiVTM!$C:$C,0)),"@"))),FALSE())*1)+(IFERROR(OR(AND(OR(E12="—",E12=""),OR(TEXT(INDEX(KhoiVTM!$M:$M,MATCH(B12,KhoiVTM!$C:$C,0)),"@")="",TEXT(INDEX(KhoiVTM!$M:$M,MATCH(B12,KhoiVTM!$C:$C,0)),"@")="—")),EXACT(TEXT(E12,"@"),TEXT(INDEX(KhoiVTM!$M:$M,MATCH(B12,KhoiVTM!$C:$C,0)),"@"))),FALSE())*1)&gt;=3,"Partial","Mismatch"))),"Not Found")</f>
        <v>Match</v>
      </c>
    </row>
    <row r="13" spans="1:15" x14ac:dyDescent="0.25">
      <c r="A13" s="114">
        <f>KhoiVTM!A13</f>
        <v>12</v>
      </c>
      <c r="B13" s="114" t="str">
        <f>KhoiVTM!C13</f>
        <v>541-TNPW06031K78BEEATR-ND</v>
      </c>
      <c r="C13" s="114" t="str">
        <f>KhoiVTM!D13</f>
        <v>RES 1.78K OHM 0.1% 0.21W 0603</v>
      </c>
      <c r="D13" s="113" t="s">
        <v>518</v>
      </c>
      <c r="E13" s="113" t="str">
        <f t="shared" si="2"/>
        <v>0603</v>
      </c>
      <c r="F13" s="114">
        <f>KhoiVTM!F13</f>
        <v>25</v>
      </c>
      <c r="G13" s="114">
        <v>0</v>
      </c>
      <c r="H13" s="114">
        <v>0</v>
      </c>
      <c r="I13" s="114">
        <f t="shared" si="0"/>
        <v>25</v>
      </c>
      <c r="J13" s="58" t="str">
        <f t="shared" si="1"/>
        <v>Resistor</v>
      </c>
      <c r="K13" s="62" t="s">
        <v>25</v>
      </c>
      <c r="L13" s="114" t="s">
        <v>515</v>
      </c>
      <c r="M13" s="56"/>
      <c r="N13" s="57" t="str">
        <f>IFERROR(IF(ISERROR(MATCH(B13,KhoiVTM!$C:$C,0)),"Not Found",IF((EXACT(C13,IFERROR(INDEX(KhoiVTM!$D:$D,MATCH(B13,KhoiVTM!$C:$C,0)),"__NA__"))*1)+(IFERROR(F13=INDEX(KhoiVTM!$F:$F,MATCH(B13,KhoiVTM!$C:$C,0)),FALSE())*1)+(IFERROR(OR(AND(OR(D13="—",D13=""),OR(TEXT(INDEX(KhoiVTM!$J:$J,MATCH(B13,KhoiVTM!$C:$C,0)),"@")="",TEXT(INDEX(KhoiVTM!$J:$J,MATCH(B13,KhoiVTM!$C:$C,0)),"@")="—")),EXACT(TEXT(D13,"@"),TEXT(INDEX(KhoiVTM!$J:$J,MATCH(B13,KhoiVTM!$C:$C,0)),"@"))),FALSE())*1)+(IFERROR(OR(AND(OR(E13="—",E13=""),OR(TEXT(INDEX(KhoiVTM!$M:$M,MATCH(B13,KhoiVTM!$C:$C,0)),"@")="",TEXT(INDEX(KhoiVTM!$M:$M,MATCH(B13,KhoiVTM!$C:$C,0)),"@")="—")),EXACT(TEXT(E13,"@"),TEXT(INDEX(KhoiVTM!$M:$M,MATCH(B13,KhoiVTM!$C:$C,0)),"@"))),FALSE())*1)=4,"Match",IF((EXACT(C13,IFERROR(INDEX(KhoiVTM!$D:$D,MATCH(B13,KhoiVTM!$C:$C,0)),"__NA__"))*1)+(IFERROR(F13=INDEX(KhoiVTM!$F:$F,MATCH(B13,KhoiVTM!$C:$C,0)),FALSE())*1)+(IFERROR(OR(AND(OR(D13="—",D13=""),OR(TEXT(INDEX(KhoiVTM!$J:$J,MATCH(B13,KhoiVTM!$C:$C,0)),"@")="",TEXT(INDEX(KhoiVTM!$J:$J,MATCH(B13,KhoiVTM!$C:$C,0)),"@")="—")),EXACT(TEXT(D13,"@"),TEXT(INDEX(KhoiVTM!$J:$J,MATCH(B13,KhoiVTM!$C:$C,0)),"@"))),FALSE())*1)+(IFERROR(OR(AND(OR(E13="—",E13=""),OR(TEXT(INDEX(KhoiVTM!$M:$M,MATCH(B13,KhoiVTM!$C:$C,0)),"@")="",TEXT(INDEX(KhoiVTM!$M:$M,MATCH(B13,KhoiVTM!$C:$C,0)),"@")="—")),EXACT(TEXT(E13,"@"),TEXT(INDEX(KhoiVTM!$M:$M,MATCH(B13,KhoiVTM!$C:$C,0)),"@"))),FALSE())*1)&gt;=3,"Partial","Mismatch"))),"Not Found")</f>
        <v>Match</v>
      </c>
    </row>
    <row r="14" spans="1:15" x14ac:dyDescent="0.25">
      <c r="A14" s="114">
        <f>KhoiVTM!A14</f>
        <v>13</v>
      </c>
      <c r="B14" s="114" t="str">
        <f>KhoiVTM!C14</f>
        <v>RC0603FR-07510RL</v>
      </c>
      <c r="C14" s="114" t="str">
        <f>KhoiVTM!D14</f>
        <v>RES 510 OHM 1% 1/10W 0603</v>
      </c>
      <c r="D14" s="113">
        <v>510</v>
      </c>
      <c r="E14" s="113" t="str">
        <f t="shared" si="2"/>
        <v>0603</v>
      </c>
      <c r="F14" s="114">
        <f>KhoiVTM!F14</f>
        <v>25</v>
      </c>
      <c r="G14" s="114">
        <v>0</v>
      </c>
      <c r="H14" s="114">
        <v>0</v>
      </c>
      <c r="I14" s="114">
        <f t="shared" si="0"/>
        <v>25</v>
      </c>
      <c r="J14" s="58" t="str">
        <f t="shared" si="1"/>
        <v>Resistor</v>
      </c>
      <c r="K14" s="62" t="s">
        <v>25</v>
      </c>
      <c r="L14" s="114" t="s">
        <v>515</v>
      </c>
      <c r="M14" s="56"/>
      <c r="N14" s="57" t="str">
        <f>IFERROR(IF(ISERROR(MATCH(B14,KhoiVTM!$C:$C,0)),"Not Found",IF((EXACT(C14,IFERROR(INDEX(KhoiVTM!$D:$D,MATCH(B14,KhoiVTM!$C:$C,0)),"__NA__"))*1)+(IFERROR(F14=INDEX(KhoiVTM!$F:$F,MATCH(B14,KhoiVTM!$C:$C,0)),FALSE())*1)+(IFERROR(OR(AND(OR(D14="—",D14=""),OR(TEXT(INDEX(KhoiVTM!$J:$J,MATCH(B14,KhoiVTM!$C:$C,0)),"@")="",TEXT(INDEX(KhoiVTM!$J:$J,MATCH(B14,KhoiVTM!$C:$C,0)),"@")="—")),EXACT(TEXT(D14,"@"),TEXT(INDEX(KhoiVTM!$J:$J,MATCH(B14,KhoiVTM!$C:$C,0)),"@"))),FALSE())*1)+(IFERROR(OR(AND(OR(E14="—",E14=""),OR(TEXT(INDEX(KhoiVTM!$M:$M,MATCH(B14,KhoiVTM!$C:$C,0)),"@")="",TEXT(INDEX(KhoiVTM!$M:$M,MATCH(B14,KhoiVTM!$C:$C,0)),"@")="—")),EXACT(TEXT(E14,"@"),TEXT(INDEX(KhoiVTM!$M:$M,MATCH(B14,KhoiVTM!$C:$C,0)),"@"))),FALSE())*1)=4,"Match",IF((EXACT(C14,IFERROR(INDEX(KhoiVTM!$D:$D,MATCH(B14,KhoiVTM!$C:$C,0)),"__NA__"))*1)+(IFERROR(F14=INDEX(KhoiVTM!$F:$F,MATCH(B14,KhoiVTM!$C:$C,0)),FALSE())*1)+(IFERROR(OR(AND(OR(D14="—",D14=""),OR(TEXT(INDEX(KhoiVTM!$J:$J,MATCH(B14,KhoiVTM!$C:$C,0)),"@")="",TEXT(INDEX(KhoiVTM!$J:$J,MATCH(B14,KhoiVTM!$C:$C,0)),"@")="—")),EXACT(TEXT(D14,"@"),TEXT(INDEX(KhoiVTM!$J:$J,MATCH(B14,KhoiVTM!$C:$C,0)),"@"))),FALSE())*1)+(IFERROR(OR(AND(OR(E14="—",E14=""),OR(TEXT(INDEX(KhoiVTM!$M:$M,MATCH(B14,KhoiVTM!$C:$C,0)),"@")="",TEXT(INDEX(KhoiVTM!$M:$M,MATCH(B14,KhoiVTM!$C:$C,0)),"@")="—")),EXACT(TEXT(E14,"@"),TEXT(INDEX(KhoiVTM!$M:$M,MATCH(B14,KhoiVTM!$C:$C,0)),"@"))),FALSE())*1)&gt;=3,"Partial","Mismatch"))),"Not Found")</f>
        <v>Match</v>
      </c>
    </row>
    <row r="15" spans="1:15" x14ac:dyDescent="0.25">
      <c r="A15" s="114">
        <f>KhoiVTM!A15</f>
        <v>14</v>
      </c>
      <c r="B15" s="114" t="str">
        <f>KhoiVTM!C15</f>
        <v>RC0603FR-072K67L</v>
      </c>
      <c r="C15" s="114" t="str">
        <f>KhoiVTM!D15</f>
        <v>RES 2.67K OHM 1% 0.1W, 1/10W 0603</v>
      </c>
      <c r="D15" s="113" t="s">
        <v>519</v>
      </c>
      <c r="E15" s="113" t="str">
        <f t="shared" si="2"/>
        <v>0603</v>
      </c>
      <c r="F15" s="114">
        <f>KhoiVTM!F15</f>
        <v>25</v>
      </c>
      <c r="G15" s="114">
        <v>0</v>
      </c>
      <c r="H15" s="114">
        <v>0</v>
      </c>
      <c r="I15" s="114">
        <f t="shared" si="0"/>
        <v>25</v>
      </c>
      <c r="J15" s="58" t="str">
        <f t="shared" si="1"/>
        <v>Resistor</v>
      </c>
      <c r="K15" s="62" t="s">
        <v>25</v>
      </c>
      <c r="L15" s="114" t="s">
        <v>515</v>
      </c>
      <c r="M15" s="56"/>
      <c r="N15" s="57" t="str">
        <f>IFERROR(IF(ISERROR(MATCH(B15,KhoiVTM!$C:$C,0)),"Not Found",IF((EXACT(C15,IFERROR(INDEX(KhoiVTM!$D:$D,MATCH(B15,KhoiVTM!$C:$C,0)),"__NA__"))*1)+(IFERROR(F15=INDEX(KhoiVTM!$F:$F,MATCH(B15,KhoiVTM!$C:$C,0)),FALSE())*1)+(IFERROR(OR(AND(OR(D15="—",D15=""),OR(TEXT(INDEX(KhoiVTM!$J:$J,MATCH(B15,KhoiVTM!$C:$C,0)),"@")="",TEXT(INDEX(KhoiVTM!$J:$J,MATCH(B15,KhoiVTM!$C:$C,0)),"@")="—")),EXACT(TEXT(D15,"@"),TEXT(INDEX(KhoiVTM!$J:$J,MATCH(B15,KhoiVTM!$C:$C,0)),"@"))),FALSE())*1)+(IFERROR(OR(AND(OR(E15="—",E15=""),OR(TEXT(INDEX(KhoiVTM!$M:$M,MATCH(B15,KhoiVTM!$C:$C,0)),"@")="",TEXT(INDEX(KhoiVTM!$M:$M,MATCH(B15,KhoiVTM!$C:$C,0)),"@")="—")),EXACT(TEXT(E15,"@"),TEXT(INDEX(KhoiVTM!$M:$M,MATCH(B15,KhoiVTM!$C:$C,0)),"@"))),FALSE())*1)=4,"Match",IF((EXACT(C15,IFERROR(INDEX(KhoiVTM!$D:$D,MATCH(B15,KhoiVTM!$C:$C,0)),"__NA__"))*1)+(IFERROR(F15=INDEX(KhoiVTM!$F:$F,MATCH(B15,KhoiVTM!$C:$C,0)),FALSE())*1)+(IFERROR(OR(AND(OR(D15="—",D15=""),OR(TEXT(INDEX(KhoiVTM!$J:$J,MATCH(B15,KhoiVTM!$C:$C,0)),"@")="",TEXT(INDEX(KhoiVTM!$J:$J,MATCH(B15,KhoiVTM!$C:$C,0)),"@")="—")),EXACT(TEXT(D15,"@"),TEXT(INDEX(KhoiVTM!$J:$J,MATCH(B15,KhoiVTM!$C:$C,0)),"@"))),FALSE())*1)+(IFERROR(OR(AND(OR(E15="—",E15=""),OR(TEXT(INDEX(KhoiVTM!$M:$M,MATCH(B15,KhoiVTM!$C:$C,0)),"@")="",TEXT(INDEX(KhoiVTM!$M:$M,MATCH(B15,KhoiVTM!$C:$C,0)),"@")="—")),EXACT(TEXT(E15,"@"),TEXT(INDEX(KhoiVTM!$M:$M,MATCH(B15,KhoiVTM!$C:$C,0)),"@"))),FALSE())*1)&gt;=3,"Partial","Mismatch"))),"Not Found")</f>
        <v>Match</v>
      </c>
    </row>
    <row r="16" spans="1:15" x14ac:dyDescent="0.25">
      <c r="A16" s="114">
        <f>KhoiVTM!A16</f>
        <v>15</v>
      </c>
      <c r="B16" s="114" t="str">
        <f>KhoiVTM!C16</f>
        <v>RC0603FR-0751RL</v>
      </c>
      <c r="C16" s="114" t="str">
        <f>KhoiVTM!D16</f>
        <v>RES 51 OHM 1% 1/10W 0603</v>
      </c>
      <c r="D16" s="113">
        <v>51</v>
      </c>
      <c r="E16" s="113" t="str">
        <f t="shared" si="2"/>
        <v>0603</v>
      </c>
      <c r="F16" s="114">
        <f>KhoiVTM!F16</f>
        <v>25</v>
      </c>
      <c r="G16" s="114">
        <v>0</v>
      </c>
      <c r="H16" s="114">
        <v>0</v>
      </c>
      <c r="I16" s="114">
        <f t="shared" si="0"/>
        <v>25</v>
      </c>
      <c r="J16" s="58" t="str">
        <f t="shared" si="1"/>
        <v>Resistor</v>
      </c>
      <c r="K16" s="62" t="s">
        <v>25</v>
      </c>
      <c r="L16" s="114" t="s">
        <v>515</v>
      </c>
      <c r="M16" s="56"/>
      <c r="N16" s="57" t="str">
        <f>IFERROR(IF(ISERROR(MATCH(B16,KhoiVTM!$C:$C,0)),"Not Found",IF((EXACT(C16,IFERROR(INDEX(KhoiVTM!$D:$D,MATCH(B16,KhoiVTM!$C:$C,0)),"__NA__"))*1)+(IFERROR(F16=INDEX(KhoiVTM!$F:$F,MATCH(B16,KhoiVTM!$C:$C,0)),FALSE())*1)+(IFERROR(OR(AND(OR(D16="—",D16=""),OR(TEXT(INDEX(KhoiVTM!$J:$J,MATCH(B16,KhoiVTM!$C:$C,0)),"@")="",TEXT(INDEX(KhoiVTM!$J:$J,MATCH(B16,KhoiVTM!$C:$C,0)),"@")="—")),EXACT(TEXT(D16,"@"),TEXT(INDEX(KhoiVTM!$J:$J,MATCH(B16,KhoiVTM!$C:$C,0)),"@"))),FALSE())*1)+(IFERROR(OR(AND(OR(E16="—",E16=""),OR(TEXT(INDEX(KhoiVTM!$M:$M,MATCH(B16,KhoiVTM!$C:$C,0)),"@")="",TEXT(INDEX(KhoiVTM!$M:$M,MATCH(B16,KhoiVTM!$C:$C,0)),"@")="—")),EXACT(TEXT(E16,"@"),TEXT(INDEX(KhoiVTM!$M:$M,MATCH(B16,KhoiVTM!$C:$C,0)),"@"))),FALSE())*1)=4,"Match",IF((EXACT(C16,IFERROR(INDEX(KhoiVTM!$D:$D,MATCH(B16,KhoiVTM!$C:$C,0)),"__NA__"))*1)+(IFERROR(F16=INDEX(KhoiVTM!$F:$F,MATCH(B16,KhoiVTM!$C:$C,0)),FALSE())*1)+(IFERROR(OR(AND(OR(D16="—",D16=""),OR(TEXT(INDEX(KhoiVTM!$J:$J,MATCH(B16,KhoiVTM!$C:$C,0)),"@")="",TEXT(INDEX(KhoiVTM!$J:$J,MATCH(B16,KhoiVTM!$C:$C,0)),"@")="—")),EXACT(TEXT(D16,"@"),TEXT(INDEX(KhoiVTM!$J:$J,MATCH(B16,KhoiVTM!$C:$C,0)),"@"))),FALSE())*1)+(IFERROR(OR(AND(OR(E16="—",E16=""),OR(TEXT(INDEX(KhoiVTM!$M:$M,MATCH(B16,KhoiVTM!$C:$C,0)),"@")="",TEXT(INDEX(KhoiVTM!$M:$M,MATCH(B16,KhoiVTM!$C:$C,0)),"@")="—")),EXACT(TEXT(E16,"@"),TEXT(INDEX(KhoiVTM!$M:$M,MATCH(B16,KhoiVTM!$C:$C,0)),"@"))),FALSE())*1)&gt;=3,"Partial","Mismatch"))),"Not Found")</f>
        <v>Match</v>
      </c>
    </row>
    <row r="17" spans="1:14" x14ac:dyDescent="0.25">
      <c r="A17" s="114">
        <f>KhoiVTM!A17</f>
        <v>16</v>
      </c>
      <c r="B17" s="114" t="str">
        <f>KhoiVTM!C17</f>
        <v>RC0603FR-0710KL</v>
      </c>
      <c r="C17" s="114" t="str">
        <f>KhoiVTM!D17</f>
        <v>RES 10K OHM 1% 1/10W 0603</v>
      </c>
      <c r="D17" s="113" t="s">
        <v>520</v>
      </c>
      <c r="E17" s="113" t="str">
        <f t="shared" si="2"/>
        <v>0603</v>
      </c>
      <c r="F17" s="114">
        <f>KhoiVTM!F17</f>
        <v>25</v>
      </c>
      <c r="G17" s="114">
        <v>8</v>
      </c>
      <c r="H17" s="114">
        <v>0</v>
      </c>
      <c r="I17" s="114">
        <f t="shared" si="0"/>
        <v>25</v>
      </c>
      <c r="J17" s="58" t="str">
        <f t="shared" si="1"/>
        <v>Resistor</v>
      </c>
      <c r="K17" s="62" t="s">
        <v>25</v>
      </c>
      <c r="L17" s="114" t="s">
        <v>515</v>
      </c>
      <c r="M17" s="56"/>
      <c r="N17" s="57" t="str">
        <f>IFERROR(IF(ISERROR(MATCH(B17,KhoiVTM!$C:$C,0)),"Not Found",IF((EXACT(C17,IFERROR(INDEX(KhoiVTM!$D:$D,MATCH(B17,KhoiVTM!$C:$C,0)),"__NA__"))*1)+(IFERROR(F17=INDEX(KhoiVTM!$F:$F,MATCH(B17,KhoiVTM!$C:$C,0)),FALSE())*1)+(IFERROR(OR(AND(OR(D17="—",D17=""),OR(TEXT(INDEX(KhoiVTM!$J:$J,MATCH(B17,KhoiVTM!$C:$C,0)),"@")="",TEXT(INDEX(KhoiVTM!$J:$J,MATCH(B17,KhoiVTM!$C:$C,0)),"@")="—")),EXACT(TEXT(D17,"@"),TEXT(INDEX(KhoiVTM!$J:$J,MATCH(B17,KhoiVTM!$C:$C,0)),"@"))),FALSE())*1)+(IFERROR(OR(AND(OR(E17="—",E17=""),OR(TEXT(INDEX(KhoiVTM!$M:$M,MATCH(B17,KhoiVTM!$C:$C,0)),"@")="",TEXT(INDEX(KhoiVTM!$M:$M,MATCH(B17,KhoiVTM!$C:$C,0)),"@")="—")),EXACT(TEXT(E17,"@"),TEXT(INDEX(KhoiVTM!$M:$M,MATCH(B17,KhoiVTM!$C:$C,0)),"@"))),FALSE())*1)=4,"Match",IF((EXACT(C17,IFERROR(INDEX(KhoiVTM!$D:$D,MATCH(B17,KhoiVTM!$C:$C,0)),"__NA__"))*1)+(IFERROR(F17=INDEX(KhoiVTM!$F:$F,MATCH(B17,KhoiVTM!$C:$C,0)),FALSE())*1)+(IFERROR(OR(AND(OR(D17="—",D17=""),OR(TEXT(INDEX(KhoiVTM!$J:$J,MATCH(B17,KhoiVTM!$C:$C,0)),"@")="",TEXT(INDEX(KhoiVTM!$J:$J,MATCH(B17,KhoiVTM!$C:$C,0)),"@")="—")),EXACT(TEXT(D17,"@"),TEXT(INDEX(KhoiVTM!$J:$J,MATCH(B17,KhoiVTM!$C:$C,0)),"@"))),FALSE())*1)+(IFERROR(OR(AND(OR(E17="—",E17=""),OR(TEXT(INDEX(KhoiVTM!$M:$M,MATCH(B17,KhoiVTM!$C:$C,0)),"@")="",TEXT(INDEX(KhoiVTM!$M:$M,MATCH(B17,KhoiVTM!$C:$C,0)),"@")="—")),EXACT(TEXT(E17,"@"),TEXT(INDEX(KhoiVTM!$M:$M,MATCH(B17,KhoiVTM!$C:$C,0)),"@"))),FALSE())*1)&gt;=3,"Partial","Mismatch"))),"Not Found")</f>
        <v>Match</v>
      </c>
    </row>
    <row r="18" spans="1:14" x14ac:dyDescent="0.25">
      <c r="A18" s="114">
        <f>KhoiVTM!A18</f>
        <v>17</v>
      </c>
      <c r="B18" s="114" t="str">
        <f>KhoiVTM!C18</f>
        <v>TNPW060310R0BEEA</v>
      </c>
      <c r="C18" s="114" t="str">
        <f>KhoiVTM!D18</f>
        <v>RES 10 OHM 0.1% 0.21W 0603</v>
      </c>
      <c r="D18" s="113">
        <v>10</v>
      </c>
      <c r="E18" s="113" t="str">
        <f t="shared" si="2"/>
        <v>0603</v>
      </c>
      <c r="F18" s="114">
        <f>KhoiVTM!F18</f>
        <v>25</v>
      </c>
      <c r="G18" s="114">
        <v>0</v>
      </c>
      <c r="H18" s="114">
        <v>0</v>
      </c>
      <c r="I18" s="114">
        <f t="shared" si="0"/>
        <v>25</v>
      </c>
      <c r="J18" s="58" t="str">
        <f t="shared" si="1"/>
        <v>Resistor</v>
      </c>
      <c r="K18" s="62" t="s">
        <v>25</v>
      </c>
      <c r="L18" s="114" t="s">
        <v>515</v>
      </c>
      <c r="M18" s="56"/>
      <c r="N18" s="57" t="str">
        <f>IFERROR(IF(ISERROR(MATCH(B18,KhoiVTM!$C:$C,0)),"Not Found",IF((EXACT(C18,IFERROR(INDEX(KhoiVTM!$D:$D,MATCH(B18,KhoiVTM!$C:$C,0)),"__NA__"))*1)+(IFERROR(F18=INDEX(KhoiVTM!$F:$F,MATCH(B18,KhoiVTM!$C:$C,0)),FALSE())*1)+(IFERROR(OR(AND(OR(D18="—",D18=""),OR(TEXT(INDEX(KhoiVTM!$J:$J,MATCH(B18,KhoiVTM!$C:$C,0)),"@")="",TEXT(INDEX(KhoiVTM!$J:$J,MATCH(B18,KhoiVTM!$C:$C,0)),"@")="—")),EXACT(TEXT(D18,"@"),TEXT(INDEX(KhoiVTM!$J:$J,MATCH(B18,KhoiVTM!$C:$C,0)),"@"))),FALSE())*1)+(IFERROR(OR(AND(OR(E18="—",E18=""),OR(TEXT(INDEX(KhoiVTM!$M:$M,MATCH(B18,KhoiVTM!$C:$C,0)),"@")="",TEXT(INDEX(KhoiVTM!$M:$M,MATCH(B18,KhoiVTM!$C:$C,0)),"@")="—")),EXACT(TEXT(E18,"@"),TEXT(INDEX(KhoiVTM!$M:$M,MATCH(B18,KhoiVTM!$C:$C,0)),"@"))),FALSE())*1)=4,"Match",IF((EXACT(C18,IFERROR(INDEX(KhoiVTM!$D:$D,MATCH(B18,KhoiVTM!$C:$C,0)),"__NA__"))*1)+(IFERROR(F18=INDEX(KhoiVTM!$F:$F,MATCH(B18,KhoiVTM!$C:$C,0)),FALSE())*1)+(IFERROR(OR(AND(OR(D18="—",D18=""),OR(TEXT(INDEX(KhoiVTM!$J:$J,MATCH(B18,KhoiVTM!$C:$C,0)),"@")="",TEXT(INDEX(KhoiVTM!$J:$J,MATCH(B18,KhoiVTM!$C:$C,0)),"@")="—")),EXACT(TEXT(D18,"@"),TEXT(INDEX(KhoiVTM!$J:$J,MATCH(B18,KhoiVTM!$C:$C,0)),"@"))),FALSE())*1)+(IFERROR(OR(AND(OR(E18="—",E18=""),OR(TEXT(INDEX(KhoiVTM!$M:$M,MATCH(B18,KhoiVTM!$C:$C,0)),"@")="",TEXT(INDEX(KhoiVTM!$M:$M,MATCH(B18,KhoiVTM!$C:$C,0)),"@")="—")),EXACT(TEXT(E18,"@"),TEXT(INDEX(KhoiVTM!$M:$M,MATCH(B18,KhoiVTM!$C:$C,0)),"@"))),FALSE())*1)&gt;=3,"Partial","Mismatch"))),"Not Found")</f>
        <v>Match</v>
      </c>
    </row>
    <row r="19" spans="1:14" x14ac:dyDescent="0.25">
      <c r="A19" s="114">
        <f>KhoiVTM!A19</f>
        <v>18</v>
      </c>
      <c r="B19" s="114" t="str">
        <f>KhoiVTM!C19</f>
        <v>GRM1885C1H200JA01D</v>
      </c>
      <c r="C19" s="114" t="str">
        <f>KhoiVTM!D19</f>
        <v>CAP CER 20PF 50V C0G/NP0 0603</v>
      </c>
      <c r="D19" s="113" t="s">
        <v>521</v>
      </c>
      <c r="E19" s="113" t="str">
        <f t="shared" si="2"/>
        <v>0603</v>
      </c>
      <c r="F19" s="114">
        <f>KhoiVTM!F19</f>
        <v>25</v>
      </c>
      <c r="G19" s="114">
        <v>2</v>
      </c>
      <c r="H19" s="114">
        <v>0</v>
      </c>
      <c r="I19" s="114">
        <f t="shared" si="0"/>
        <v>25</v>
      </c>
      <c r="J19" s="58" t="str">
        <f t="shared" si="1"/>
        <v>Capacitor</v>
      </c>
      <c r="K19" s="62" t="s">
        <v>25</v>
      </c>
      <c r="L19" s="114" t="s">
        <v>515</v>
      </c>
      <c r="M19" s="56"/>
      <c r="N19" s="57" t="str">
        <f>IFERROR(IF(ISERROR(MATCH(B19,KhoiVTM!$C:$C,0)),"Not Found",IF((EXACT(C19,IFERROR(INDEX(KhoiVTM!$D:$D,MATCH(B19,KhoiVTM!$C:$C,0)),"__NA__"))*1)+(IFERROR(F19=INDEX(KhoiVTM!$F:$F,MATCH(B19,KhoiVTM!$C:$C,0)),FALSE())*1)+(IFERROR(OR(AND(OR(D19="—",D19=""),OR(TEXT(INDEX(KhoiVTM!$J:$J,MATCH(B19,KhoiVTM!$C:$C,0)),"@")="",TEXT(INDEX(KhoiVTM!$J:$J,MATCH(B19,KhoiVTM!$C:$C,0)),"@")="—")),EXACT(TEXT(D19,"@"),TEXT(INDEX(KhoiVTM!$J:$J,MATCH(B19,KhoiVTM!$C:$C,0)),"@"))),FALSE())*1)+(IFERROR(OR(AND(OR(E19="—",E19=""),OR(TEXT(INDEX(KhoiVTM!$M:$M,MATCH(B19,KhoiVTM!$C:$C,0)),"@")="",TEXT(INDEX(KhoiVTM!$M:$M,MATCH(B19,KhoiVTM!$C:$C,0)),"@")="—")),EXACT(TEXT(E19,"@"),TEXT(INDEX(KhoiVTM!$M:$M,MATCH(B19,KhoiVTM!$C:$C,0)),"@"))),FALSE())*1)=4,"Match",IF((EXACT(C19,IFERROR(INDEX(KhoiVTM!$D:$D,MATCH(B19,KhoiVTM!$C:$C,0)),"__NA__"))*1)+(IFERROR(F19=INDEX(KhoiVTM!$F:$F,MATCH(B19,KhoiVTM!$C:$C,0)),FALSE())*1)+(IFERROR(OR(AND(OR(D19="—",D19=""),OR(TEXT(INDEX(KhoiVTM!$J:$J,MATCH(B19,KhoiVTM!$C:$C,0)),"@")="",TEXT(INDEX(KhoiVTM!$J:$J,MATCH(B19,KhoiVTM!$C:$C,0)),"@")="—")),EXACT(TEXT(D19,"@"),TEXT(INDEX(KhoiVTM!$J:$J,MATCH(B19,KhoiVTM!$C:$C,0)),"@"))),FALSE())*1)+(IFERROR(OR(AND(OR(E19="—",E19=""),OR(TEXT(INDEX(KhoiVTM!$M:$M,MATCH(B19,KhoiVTM!$C:$C,0)),"@")="",TEXT(INDEX(KhoiVTM!$M:$M,MATCH(B19,KhoiVTM!$C:$C,0)),"@")="—")),EXACT(TEXT(E19,"@"),TEXT(INDEX(KhoiVTM!$M:$M,MATCH(B19,KhoiVTM!$C:$C,0)),"@"))),FALSE())*1)&gt;=3,"Partial","Mismatch"))),"Not Found")</f>
        <v>Match</v>
      </c>
    </row>
    <row r="20" spans="1:14" x14ac:dyDescent="0.25">
      <c r="A20" s="114">
        <f>KhoiVTM!A20</f>
        <v>19</v>
      </c>
      <c r="B20" s="114" t="str">
        <f>KhoiVTM!C20</f>
        <v>GRM155R71H104KE14D</v>
      </c>
      <c r="C20" s="114" t="str">
        <f>KhoiVTM!D20</f>
        <v>CAP CER 0.1UF 50V X7R 0603</v>
      </c>
      <c r="D20" s="113" t="s">
        <v>522</v>
      </c>
      <c r="E20" s="113" t="str">
        <f t="shared" si="2"/>
        <v>0603</v>
      </c>
      <c r="F20" s="114">
        <f>KhoiVTM!F20</f>
        <v>25</v>
      </c>
      <c r="G20" s="114">
        <v>27</v>
      </c>
      <c r="H20" s="114">
        <v>0</v>
      </c>
      <c r="I20" s="114">
        <f t="shared" si="0"/>
        <v>25</v>
      </c>
      <c r="J20" s="58" t="str">
        <f t="shared" si="1"/>
        <v>Capacitor</v>
      </c>
      <c r="K20" s="62" t="s">
        <v>25</v>
      </c>
      <c r="L20" s="114" t="s">
        <v>515</v>
      </c>
      <c r="M20" s="56"/>
      <c r="N20" s="57" t="str">
        <f>IFERROR(IF(ISERROR(MATCH(B20,KhoiVTM!$C:$C,0)),"Not Found",IF((EXACT(C20,IFERROR(INDEX(KhoiVTM!$D:$D,MATCH(B20,KhoiVTM!$C:$C,0)),"__NA__"))*1)+(IFERROR(F20=INDEX(KhoiVTM!$F:$F,MATCH(B20,KhoiVTM!$C:$C,0)),FALSE())*1)+(IFERROR(OR(AND(OR(D20="—",D20=""),OR(TEXT(INDEX(KhoiVTM!$J:$J,MATCH(B20,KhoiVTM!$C:$C,0)),"@")="",TEXT(INDEX(KhoiVTM!$J:$J,MATCH(B20,KhoiVTM!$C:$C,0)),"@")="—")),EXACT(TEXT(D20,"@"),TEXT(INDEX(KhoiVTM!$J:$J,MATCH(B20,KhoiVTM!$C:$C,0)),"@"))),FALSE())*1)+(IFERROR(OR(AND(OR(E20="—",E20=""),OR(TEXT(INDEX(KhoiVTM!$M:$M,MATCH(B20,KhoiVTM!$C:$C,0)),"@")="",TEXT(INDEX(KhoiVTM!$M:$M,MATCH(B20,KhoiVTM!$C:$C,0)),"@")="—")),EXACT(TEXT(E20,"@"),TEXT(INDEX(KhoiVTM!$M:$M,MATCH(B20,KhoiVTM!$C:$C,0)),"@"))),FALSE())*1)=4,"Match",IF((EXACT(C20,IFERROR(INDEX(KhoiVTM!$D:$D,MATCH(B20,KhoiVTM!$C:$C,0)),"__NA__"))*1)+(IFERROR(F20=INDEX(KhoiVTM!$F:$F,MATCH(B20,KhoiVTM!$C:$C,0)),FALSE())*1)+(IFERROR(OR(AND(OR(D20="—",D20=""),OR(TEXT(INDEX(KhoiVTM!$J:$J,MATCH(B20,KhoiVTM!$C:$C,0)),"@")="",TEXT(INDEX(KhoiVTM!$J:$J,MATCH(B20,KhoiVTM!$C:$C,0)),"@")="—")),EXACT(TEXT(D20,"@"),TEXT(INDEX(KhoiVTM!$J:$J,MATCH(B20,KhoiVTM!$C:$C,0)),"@"))),FALSE())*1)+(IFERROR(OR(AND(OR(E20="—",E20=""),OR(TEXT(INDEX(KhoiVTM!$M:$M,MATCH(B20,KhoiVTM!$C:$C,0)),"@")="",TEXT(INDEX(KhoiVTM!$M:$M,MATCH(B20,KhoiVTM!$C:$C,0)),"@")="—")),EXACT(TEXT(E20,"@"),TEXT(INDEX(KhoiVTM!$M:$M,MATCH(B20,KhoiVTM!$C:$C,0)),"@"))),FALSE())*1)&gt;=3,"Partial","Mismatch"))),"Not Found")</f>
        <v>Match</v>
      </c>
    </row>
    <row r="21" spans="1:14" x14ac:dyDescent="0.25">
      <c r="A21" s="114">
        <f>KhoiVTM!A21</f>
        <v>20</v>
      </c>
      <c r="B21" s="114" t="str">
        <f>KhoiVTM!C21</f>
        <v>C0603C105K3RACTU</v>
      </c>
      <c r="C21" s="114" t="str">
        <f>KhoiVTM!D21</f>
        <v>CAP CER 1UF 25V X7R 0603</v>
      </c>
      <c r="D21" s="113" t="s">
        <v>523</v>
      </c>
      <c r="E21" s="113" t="str">
        <f t="shared" si="2"/>
        <v>0603</v>
      </c>
      <c r="F21" s="114">
        <f>KhoiVTM!F21</f>
        <v>25</v>
      </c>
      <c r="G21" s="114">
        <v>0</v>
      </c>
      <c r="H21" s="114">
        <v>0</v>
      </c>
      <c r="I21" s="114">
        <f t="shared" si="0"/>
        <v>25</v>
      </c>
      <c r="J21" s="58" t="str">
        <f t="shared" si="1"/>
        <v>Capacitor</v>
      </c>
      <c r="K21" s="62" t="s">
        <v>25</v>
      </c>
      <c r="L21" s="114" t="s">
        <v>515</v>
      </c>
      <c r="M21" s="56"/>
      <c r="N21" s="57" t="str">
        <f>IFERROR(IF(ISERROR(MATCH(B21,KhoiVTM!$C:$C,0)),"Not Found",IF((EXACT(C21,IFERROR(INDEX(KhoiVTM!$D:$D,MATCH(B21,KhoiVTM!$C:$C,0)),"__NA__"))*1)+(IFERROR(F21=INDEX(KhoiVTM!$F:$F,MATCH(B21,KhoiVTM!$C:$C,0)),FALSE())*1)+(IFERROR(OR(AND(OR(D21="—",D21=""),OR(TEXT(INDEX(KhoiVTM!$J:$J,MATCH(B21,KhoiVTM!$C:$C,0)),"@")="",TEXT(INDEX(KhoiVTM!$J:$J,MATCH(B21,KhoiVTM!$C:$C,0)),"@")="—")),EXACT(TEXT(D21,"@"),TEXT(INDEX(KhoiVTM!$J:$J,MATCH(B21,KhoiVTM!$C:$C,0)),"@"))),FALSE())*1)+(IFERROR(OR(AND(OR(E21="—",E21=""),OR(TEXT(INDEX(KhoiVTM!$M:$M,MATCH(B21,KhoiVTM!$C:$C,0)),"@")="",TEXT(INDEX(KhoiVTM!$M:$M,MATCH(B21,KhoiVTM!$C:$C,0)),"@")="—")),EXACT(TEXT(E21,"@"),TEXT(INDEX(KhoiVTM!$M:$M,MATCH(B21,KhoiVTM!$C:$C,0)),"@"))),FALSE())*1)=4,"Match",IF((EXACT(C21,IFERROR(INDEX(KhoiVTM!$D:$D,MATCH(B21,KhoiVTM!$C:$C,0)),"__NA__"))*1)+(IFERROR(F21=INDEX(KhoiVTM!$F:$F,MATCH(B21,KhoiVTM!$C:$C,0)),FALSE())*1)+(IFERROR(OR(AND(OR(D21="—",D21=""),OR(TEXT(INDEX(KhoiVTM!$J:$J,MATCH(B21,KhoiVTM!$C:$C,0)),"@")="",TEXT(INDEX(KhoiVTM!$J:$J,MATCH(B21,KhoiVTM!$C:$C,0)),"@")="—")),EXACT(TEXT(D21,"@"),TEXT(INDEX(KhoiVTM!$J:$J,MATCH(B21,KhoiVTM!$C:$C,0)),"@"))),FALSE())*1)+(IFERROR(OR(AND(OR(E21="—",E21=""),OR(TEXT(INDEX(KhoiVTM!$M:$M,MATCH(B21,KhoiVTM!$C:$C,0)),"@")="",TEXT(INDEX(KhoiVTM!$M:$M,MATCH(B21,KhoiVTM!$C:$C,0)),"@")="—")),EXACT(TEXT(E21,"@"),TEXT(INDEX(KhoiVTM!$M:$M,MATCH(B21,KhoiVTM!$C:$C,0)),"@"))),FALSE())*1)&gt;=3,"Partial","Mismatch"))),"Not Found")</f>
        <v>Match</v>
      </c>
    </row>
    <row r="22" spans="1:14" x14ac:dyDescent="0.25">
      <c r="A22" s="114">
        <f>KhoiVTM!A22</f>
        <v>21</v>
      </c>
      <c r="B22" s="114" t="str">
        <f>KhoiVTM!C22</f>
        <v>GRM1555C1H1R0WA01J</v>
      </c>
      <c r="C22" s="114" t="str">
        <f>KhoiVTM!D22</f>
        <v>CAP CER 1PF 50V C0G/NP0 0402</v>
      </c>
      <c r="D22" s="113" t="s">
        <v>524</v>
      </c>
      <c r="E22" s="113" t="str">
        <f t="shared" si="2"/>
        <v>0402</v>
      </c>
      <c r="F22" s="114">
        <f>KhoiVTM!F22</f>
        <v>25</v>
      </c>
      <c r="G22" s="114">
        <v>0</v>
      </c>
      <c r="H22" s="114">
        <v>0</v>
      </c>
      <c r="I22" s="114">
        <f t="shared" si="0"/>
        <v>25</v>
      </c>
      <c r="J22" s="58" t="str">
        <f t="shared" si="1"/>
        <v>Capacitor</v>
      </c>
      <c r="K22" s="62" t="s">
        <v>25</v>
      </c>
      <c r="L22" s="114" t="s">
        <v>515</v>
      </c>
      <c r="M22" s="56"/>
      <c r="N22" s="57" t="str">
        <f>IFERROR(IF(ISERROR(MATCH(B22,KhoiVTM!$C:$C,0)),"Not Found",IF((EXACT(C22,IFERROR(INDEX(KhoiVTM!$D:$D,MATCH(B22,KhoiVTM!$C:$C,0)),"__NA__"))*1)+(IFERROR(F22=INDEX(KhoiVTM!$F:$F,MATCH(B22,KhoiVTM!$C:$C,0)),FALSE())*1)+(IFERROR(OR(AND(OR(D22="—",D22=""),OR(TEXT(INDEX(KhoiVTM!$J:$J,MATCH(B22,KhoiVTM!$C:$C,0)),"@")="",TEXT(INDEX(KhoiVTM!$J:$J,MATCH(B22,KhoiVTM!$C:$C,0)),"@")="—")),EXACT(TEXT(D22,"@"),TEXT(INDEX(KhoiVTM!$J:$J,MATCH(B22,KhoiVTM!$C:$C,0)),"@"))),FALSE())*1)+(IFERROR(OR(AND(OR(E22="—",E22=""),OR(TEXT(INDEX(KhoiVTM!$M:$M,MATCH(B22,KhoiVTM!$C:$C,0)),"@")="",TEXT(INDEX(KhoiVTM!$M:$M,MATCH(B22,KhoiVTM!$C:$C,0)),"@")="—")),EXACT(TEXT(E22,"@"),TEXT(INDEX(KhoiVTM!$M:$M,MATCH(B22,KhoiVTM!$C:$C,0)),"@"))),FALSE())*1)=4,"Match",IF((EXACT(C22,IFERROR(INDEX(KhoiVTM!$D:$D,MATCH(B22,KhoiVTM!$C:$C,0)),"__NA__"))*1)+(IFERROR(F22=INDEX(KhoiVTM!$F:$F,MATCH(B22,KhoiVTM!$C:$C,0)),FALSE())*1)+(IFERROR(OR(AND(OR(D22="—",D22=""),OR(TEXT(INDEX(KhoiVTM!$J:$J,MATCH(B22,KhoiVTM!$C:$C,0)),"@")="",TEXT(INDEX(KhoiVTM!$J:$J,MATCH(B22,KhoiVTM!$C:$C,0)),"@")="—")),EXACT(TEXT(D22,"@"),TEXT(INDEX(KhoiVTM!$J:$J,MATCH(B22,KhoiVTM!$C:$C,0)),"@"))),FALSE())*1)+(IFERROR(OR(AND(OR(E22="—",E22=""),OR(TEXT(INDEX(KhoiVTM!$M:$M,MATCH(B22,KhoiVTM!$C:$C,0)),"@")="",TEXT(INDEX(KhoiVTM!$M:$M,MATCH(B22,KhoiVTM!$C:$C,0)),"@")="—")),EXACT(TEXT(E22,"@"),TEXT(INDEX(KhoiVTM!$M:$M,MATCH(B22,KhoiVTM!$C:$C,0)),"@"))),FALSE())*1)&gt;=3,"Partial","Mismatch"))),"Not Found")</f>
        <v>Match</v>
      </c>
    </row>
    <row r="23" spans="1:14" x14ac:dyDescent="0.25">
      <c r="A23" s="114">
        <f>KhoiVTM!A23</f>
        <v>22</v>
      </c>
      <c r="B23" s="114" t="str">
        <f>KhoiVTM!C23</f>
        <v>CC0805KKX5R9BB225</v>
      </c>
      <c r="C23" s="114" t="str">
        <f>KhoiVTM!D23</f>
        <v>CAP CER 2.2UF 50V X5R 0805</v>
      </c>
      <c r="D23" s="113" t="s">
        <v>462</v>
      </c>
      <c r="E23" s="113" t="str">
        <f t="shared" si="2"/>
        <v>0805</v>
      </c>
      <c r="F23" s="114">
        <f>KhoiVTM!F23</f>
        <v>25</v>
      </c>
      <c r="G23" s="114">
        <v>0</v>
      </c>
      <c r="H23" s="114">
        <v>0</v>
      </c>
      <c r="I23" s="114">
        <f t="shared" si="0"/>
        <v>25</v>
      </c>
      <c r="J23" s="58" t="str">
        <f t="shared" si="1"/>
        <v>Capacitor</v>
      </c>
      <c r="K23" s="62" t="s">
        <v>25</v>
      </c>
      <c r="L23" s="114" t="s">
        <v>515</v>
      </c>
      <c r="M23" s="56"/>
      <c r="N23" s="57" t="str">
        <f>IFERROR(IF(ISERROR(MATCH(B23,KhoiVTM!$C:$C,0)),"Not Found",IF((EXACT(C23,IFERROR(INDEX(KhoiVTM!$D:$D,MATCH(B23,KhoiVTM!$C:$C,0)),"__NA__"))*1)+(IFERROR(F23=INDEX(KhoiVTM!$F:$F,MATCH(B23,KhoiVTM!$C:$C,0)),FALSE())*1)+(IFERROR(OR(AND(OR(D23="—",D23=""),OR(TEXT(INDEX(KhoiVTM!$J:$J,MATCH(B23,KhoiVTM!$C:$C,0)),"@")="",TEXT(INDEX(KhoiVTM!$J:$J,MATCH(B23,KhoiVTM!$C:$C,0)),"@")="—")),EXACT(TEXT(D23,"@"),TEXT(INDEX(KhoiVTM!$J:$J,MATCH(B23,KhoiVTM!$C:$C,0)),"@"))),FALSE())*1)+(IFERROR(OR(AND(OR(E23="—",E23=""),OR(TEXT(INDEX(KhoiVTM!$M:$M,MATCH(B23,KhoiVTM!$C:$C,0)),"@")="",TEXT(INDEX(KhoiVTM!$M:$M,MATCH(B23,KhoiVTM!$C:$C,0)),"@")="—")),EXACT(TEXT(E23,"@"),TEXT(INDEX(KhoiVTM!$M:$M,MATCH(B23,KhoiVTM!$C:$C,0)),"@"))),FALSE())*1)=4,"Match",IF((EXACT(C23,IFERROR(INDEX(KhoiVTM!$D:$D,MATCH(B23,KhoiVTM!$C:$C,0)),"__NA__"))*1)+(IFERROR(F23=INDEX(KhoiVTM!$F:$F,MATCH(B23,KhoiVTM!$C:$C,0)),FALSE())*1)+(IFERROR(OR(AND(OR(D23="—",D23=""),OR(TEXT(INDEX(KhoiVTM!$J:$J,MATCH(B23,KhoiVTM!$C:$C,0)),"@")="",TEXT(INDEX(KhoiVTM!$J:$J,MATCH(B23,KhoiVTM!$C:$C,0)),"@")="—")),EXACT(TEXT(D23,"@"),TEXT(INDEX(KhoiVTM!$J:$J,MATCH(B23,KhoiVTM!$C:$C,0)),"@"))),FALSE())*1)+(IFERROR(OR(AND(OR(E23="—",E23=""),OR(TEXT(INDEX(KhoiVTM!$M:$M,MATCH(B23,KhoiVTM!$C:$C,0)),"@")="",TEXT(INDEX(KhoiVTM!$M:$M,MATCH(B23,KhoiVTM!$C:$C,0)),"@")="—")),EXACT(TEXT(E23,"@"),TEXT(INDEX(KhoiVTM!$M:$M,MATCH(B23,KhoiVTM!$C:$C,0)),"@"))),FALSE())*1)&gt;=3,"Partial","Mismatch"))),"Not Found")</f>
        <v>Match</v>
      </c>
    </row>
    <row r="24" spans="1:14" x14ac:dyDescent="0.25">
      <c r="A24" s="114">
        <f>KhoiVTM!A24</f>
        <v>23</v>
      </c>
      <c r="B24" s="114" t="str">
        <f>KhoiVTM!C24</f>
        <v>GRM1885C1H181JA01J</v>
      </c>
      <c r="C24" s="114" t="str">
        <f>KhoiVTM!D24</f>
        <v>CAP CER 180PF 50V C0G/NP0 0603</v>
      </c>
      <c r="D24" s="113" t="s">
        <v>525</v>
      </c>
      <c r="E24" s="113" t="str">
        <f t="shared" si="2"/>
        <v>0603</v>
      </c>
      <c r="F24" s="114">
        <f>KhoiVTM!F24</f>
        <v>25</v>
      </c>
      <c r="G24" s="114">
        <v>0</v>
      </c>
      <c r="H24" s="114">
        <v>0</v>
      </c>
      <c r="I24" s="114">
        <f t="shared" si="0"/>
        <v>25</v>
      </c>
      <c r="J24" s="58" t="str">
        <f t="shared" si="1"/>
        <v>Capacitor</v>
      </c>
      <c r="K24" s="62" t="s">
        <v>25</v>
      </c>
      <c r="L24" s="114" t="s">
        <v>515</v>
      </c>
      <c r="M24" s="56"/>
      <c r="N24" s="57" t="str">
        <f>IFERROR(IF(ISERROR(MATCH(B24,KhoiVTM!$C:$C,0)),"Not Found",IF((EXACT(C24,IFERROR(INDEX(KhoiVTM!$D:$D,MATCH(B24,KhoiVTM!$C:$C,0)),"__NA__"))*1)+(IFERROR(F24=INDEX(KhoiVTM!$F:$F,MATCH(B24,KhoiVTM!$C:$C,0)),FALSE())*1)+(IFERROR(OR(AND(OR(D24="—",D24=""),OR(TEXT(INDEX(KhoiVTM!$J:$J,MATCH(B24,KhoiVTM!$C:$C,0)),"@")="",TEXT(INDEX(KhoiVTM!$J:$J,MATCH(B24,KhoiVTM!$C:$C,0)),"@")="—")),EXACT(TEXT(D24,"@"),TEXT(INDEX(KhoiVTM!$J:$J,MATCH(B24,KhoiVTM!$C:$C,0)),"@"))),FALSE())*1)+(IFERROR(OR(AND(OR(E24="—",E24=""),OR(TEXT(INDEX(KhoiVTM!$M:$M,MATCH(B24,KhoiVTM!$C:$C,0)),"@")="",TEXT(INDEX(KhoiVTM!$M:$M,MATCH(B24,KhoiVTM!$C:$C,0)),"@")="—")),EXACT(TEXT(E24,"@"),TEXT(INDEX(KhoiVTM!$M:$M,MATCH(B24,KhoiVTM!$C:$C,0)),"@"))),FALSE())*1)=4,"Match",IF((EXACT(C24,IFERROR(INDEX(KhoiVTM!$D:$D,MATCH(B24,KhoiVTM!$C:$C,0)),"__NA__"))*1)+(IFERROR(F24=INDEX(KhoiVTM!$F:$F,MATCH(B24,KhoiVTM!$C:$C,0)),FALSE())*1)+(IFERROR(OR(AND(OR(D24="—",D24=""),OR(TEXT(INDEX(KhoiVTM!$J:$J,MATCH(B24,KhoiVTM!$C:$C,0)),"@")="",TEXT(INDEX(KhoiVTM!$J:$J,MATCH(B24,KhoiVTM!$C:$C,0)),"@")="—")),EXACT(TEXT(D24,"@"),TEXT(INDEX(KhoiVTM!$J:$J,MATCH(B24,KhoiVTM!$C:$C,0)),"@"))),FALSE())*1)+(IFERROR(OR(AND(OR(E24="—",E24=""),OR(TEXT(INDEX(KhoiVTM!$M:$M,MATCH(B24,KhoiVTM!$C:$C,0)),"@")="",TEXT(INDEX(KhoiVTM!$M:$M,MATCH(B24,KhoiVTM!$C:$C,0)),"@")="—")),EXACT(TEXT(E24,"@"),TEXT(INDEX(KhoiVTM!$M:$M,MATCH(B24,KhoiVTM!$C:$C,0)),"@"))),FALSE())*1)&gt;=3,"Partial","Mismatch"))),"Not Found")</f>
        <v>Match</v>
      </c>
    </row>
    <row r="25" spans="1:14" x14ac:dyDescent="0.25">
      <c r="A25" s="114">
        <f>KhoiVTM!A25</f>
        <v>24</v>
      </c>
      <c r="B25" s="114" t="str">
        <f>KhoiVTM!C25</f>
        <v>GRM1885C1H301JA01D</v>
      </c>
      <c r="C25" s="114" t="str">
        <f>KhoiVTM!D25</f>
        <v>CAP CER 300PF 50V C0G/NP0 0603</v>
      </c>
      <c r="D25" s="113" t="s">
        <v>526</v>
      </c>
      <c r="E25" s="113" t="str">
        <f t="shared" si="2"/>
        <v>0603</v>
      </c>
      <c r="F25" s="114">
        <f>KhoiVTM!F25</f>
        <v>25</v>
      </c>
      <c r="G25" s="114">
        <v>0</v>
      </c>
      <c r="H25" s="114">
        <v>0</v>
      </c>
      <c r="I25" s="114">
        <f t="shared" si="0"/>
        <v>25</v>
      </c>
      <c r="J25" s="58" t="str">
        <f t="shared" si="1"/>
        <v>Capacitor</v>
      </c>
      <c r="K25" s="62" t="s">
        <v>25</v>
      </c>
      <c r="L25" s="114" t="s">
        <v>515</v>
      </c>
      <c r="M25" s="56"/>
      <c r="N25" s="57" t="str">
        <f>IFERROR(IF(ISERROR(MATCH(B25,KhoiVTM!$C:$C,0)),"Not Found",IF((EXACT(C25,IFERROR(INDEX(KhoiVTM!$D:$D,MATCH(B25,KhoiVTM!$C:$C,0)),"__NA__"))*1)+(IFERROR(F25=INDEX(KhoiVTM!$F:$F,MATCH(B25,KhoiVTM!$C:$C,0)),FALSE())*1)+(IFERROR(OR(AND(OR(D25="—",D25=""),OR(TEXT(INDEX(KhoiVTM!$J:$J,MATCH(B25,KhoiVTM!$C:$C,0)),"@")="",TEXT(INDEX(KhoiVTM!$J:$J,MATCH(B25,KhoiVTM!$C:$C,0)),"@")="—")),EXACT(TEXT(D25,"@"),TEXT(INDEX(KhoiVTM!$J:$J,MATCH(B25,KhoiVTM!$C:$C,0)),"@"))),FALSE())*1)+(IFERROR(OR(AND(OR(E25="—",E25=""),OR(TEXT(INDEX(KhoiVTM!$M:$M,MATCH(B25,KhoiVTM!$C:$C,0)),"@")="",TEXT(INDEX(KhoiVTM!$M:$M,MATCH(B25,KhoiVTM!$C:$C,0)),"@")="—")),EXACT(TEXT(E25,"@"),TEXT(INDEX(KhoiVTM!$M:$M,MATCH(B25,KhoiVTM!$C:$C,0)),"@"))),FALSE())*1)=4,"Match",IF((EXACT(C25,IFERROR(INDEX(KhoiVTM!$D:$D,MATCH(B25,KhoiVTM!$C:$C,0)),"__NA__"))*1)+(IFERROR(F25=INDEX(KhoiVTM!$F:$F,MATCH(B25,KhoiVTM!$C:$C,0)),FALSE())*1)+(IFERROR(OR(AND(OR(D25="—",D25=""),OR(TEXT(INDEX(KhoiVTM!$J:$J,MATCH(B25,KhoiVTM!$C:$C,0)),"@")="",TEXT(INDEX(KhoiVTM!$J:$J,MATCH(B25,KhoiVTM!$C:$C,0)),"@")="—")),EXACT(TEXT(D25,"@"),TEXT(INDEX(KhoiVTM!$J:$J,MATCH(B25,KhoiVTM!$C:$C,0)),"@"))),FALSE())*1)+(IFERROR(OR(AND(OR(E25="—",E25=""),OR(TEXT(INDEX(KhoiVTM!$M:$M,MATCH(B25,KhoiVTM!$C:$C,0)),"@")="",TEXT(INDEX(KhoiVTM!$M:$M,MATCH(B25,KhoiVTM!$C:$C,0)),"@")="—")),EXACT(TEXT(E25,"@"),TEXT(INDEX(KhoiVTM!$M:$M,MATCH(B25,KhoiVTM!$C:$C,0)),"@"))),FALSE())*1)&gt;=3,"Partial","Mismatch"))),"Not Found")</f>
        <v>Match</v>
      </c>
    </row>
    <row r="26" spans="1:14" x14ac:dyDescent="0.25">
      <c r="A26" s="114">
        <f>KhoiVTM!A26</f>
        <v>25</v>
      </c>
      <c r="B26" s="114" t="str">
        <f>KhoiVTM!C26</f>
        <v>GRM1885C1H331JA01J</v>
      </c>
      <c r="C26" s="114" t="str">
        <f>KhoiVTM!D26</f>
        <v>CAP CER 330PF 50V C0G/NP0 0603</v>
      </c>
      <c r="D26" s="113" t="s">
        <v>527</v>
      </c>
      <c r="E26" s="113" t="str">
        <f t="shared" si="2"/>
        <v>0603</v>
      </c>
      <c r="F26" s="114">
        <f>KhoiVTM!F26</f>
        <v>25</v>
      </c>
      <c r="G26" s="114">
        <v>0</v>
      </c>
      <c r="H26" s="114">
        <v>0</v>
      </c>
      <c r="I26" s="114">
        <f t="shared" si="0"/>
        <v>25</v>
      </c>
      <c r="J26" s="58" t="str">
        <f t="shared" si="1"/>
        <v>Capacitor</v>
      </c>
      <c r="K26" s="62" t="s">
        <v>25</v>
      </c>
      <c r="L26" s="114" t="s">
        <v>515</v>
      </c>
      <c r="M26" s="56"/>
      <c r="N26" s="57" t="str">
        <f>IFERROR(IF(ISERROR(MATCH(B26,KhoiVTM!$C:$C,0)),"Not Found",IF((EXACT(C26,IFERROR(INDEX(KhoiVTM!$D:$D,MATCH(B26,KhoiVTM!$C:$C,0)),"__NA__"))*1)+(IFERROR(F26=INDEX(KhoiVTM!$F:$F,MATCH(B26,KhoiVTM!$C:$C,0)),FALSE())*1)+(IFERROR(OR(AND(OR(D26="—",D26=""),OR(TEXT(INDEX(KhoiVTM!$J:$J,MATCH(B26,KhoiVTM!$C:$C,0)),"@")="",TEXT(INDEX(KhoiVTM!$J:$J,MATCH(B26,KhoiVTM!$C:$C,0)),"@")="—")),EXACT(TEXT(D26,"@"),TEXT(INDEX(KhoiVTM!$J:$J,MATCH(B26,KhoiVTM!$C:$C,0)),"@"))),FALSE())*1)+(IFERROR(OR(AND(OR(E26="—",E26=""),OR(TEXT(INDEX(KhoiVTM!$M:$M,MATCH(B26,KhoiVTM!$C:$C,0)),"@")="",TEXT(INDEX(KhoiVTM!$M:$M,MATCH(B26,KhoiVTM!$C:$C,0)),"@")="—")),EXACT(TEXT(E26,"@"),TEXT(INDEX(KhoiVTM!$M:$M,MATCH(B26,KhoiVTM!$C:$C,0)),"@"))),FALSE())*1)=4,"Match",IF((EXACT(C26,IFERROR(INDEX(KhoiVTM!$D:$D,MATCH(B26,KhoiVTM!$C:$C,0)),"__NA__"))*1)+(IFERROR(F26=INDEX(KhoiVTM!$F:$F,MATCH(B26,KhoiVTM!$C:$C,0)),FALSE())*1)+(IFERROR(OR(AND(OR(D26="—",D26=""),OR(TEXT(INDEX(KhoiVTM!$J:$J,MATCH(B26,KhoiVTM!$C:$C,0)),"@")="",TEXT(INDEX(KhoiVTM!$J:$J,MATCH(B26,KhoiVTM!$C:$C,0)),"@")="—")),EXACT(TEXT(D26,"@"),TEXT(INDEX(KhoiVTM!$J:$J,MATCH(B26,KhoiVTM!$C:$C,0)),"@"))),FALSE())*1)+(IFERROR(OR(AND(OR(E26="—",E26=""),OR(TEXT(INDEX(KhoiVTM!$M:$M,MATCH(B26,KhoiVTM!$C:$C,0)),"@")="",TEXT(INDEX(KhoiVTM!$M:$M,MATCH(B26,KhoiVTM!$C:$C,0)),"@")="—")),EXACT(TEXT(E26,"@"),TEXT(INDEX(KhoiVTM!$M:$M,MATCH(B26,KhoiVTM!$C:$C,0)),"@"))),FALSE())*1)&gt;=3,"Partial","Mismatch"))),"Not Found")</f>
        <v>Match</v>
      </c>
    </row>
    <row r="27" spans="1:14" x14ac:dyDescent="0.25">
      <c r="A27" s="114">
        <f>KhoiVTM!A27</f>
        <v>26</v>
      </c>
      <c r="B27" s="114" t="str">
        <f>KhoiVTM!C27</f>
        <v>GRM1885C1H271JA01J</v>
      </c>
      <c r="C27" s="114" t="str">
        <f>KhoiVTM!D27</f>
        <v>CAP CER 270PF 50V C0G/NP0 0603</v>
      </c>
      <c r="D27" s="113" t="s">
        <v>528</v>
      </c>
      <c r="E27" s="113" t="str">
        <f t="shared" si="2"/>
        <v>0603</v>
      </c>
      <c r="F27" s="114">
        <f>KhoiVTM!F27</f>
        <v>25</v>
      </c>
      <c r="G27" s="114">
        <v>0</v>
      </c>
      <c r="H27" s="114">
        <v>0</v>
      </c>
      <c r="I27" s="114">
        <f t="shared" si="0"/>
        <v>25</v>
      </c>
      <c r="J27" s="58" t="str">
        <f t="shared" si="1"/>
        <v>Capacitor</v>
      </c>
      <c r="K27" s="62" t="s">
        <v>25</v>
      </c>
      <c r="L27" s="114" t="s">
        <v>515</v>
      </c>
      <c r="M27" s="56"/>
      <c r="N27" s="57" t="str">
        <f>IFERROR(IF(ISERROR(MATCH(B27,KhoiVTM!$C:$C,0)),"Not Found",IF((EXACT(C27,IFERROR(INDEX(KhoiVTM!$D:$D,MATCH(B27,KhoiVTM!$C:$C,0)),"__NA__"))*1)+(IFERROR(F27=INDEX(KhoiVTM!$F:$F,MATCH(B27,KhoiVTM!$C:$C,0)),FALSE())*1)+(IFERROR(OR(AND(OR(D27="—",D27=""),OR(TEXT(INDEX(KhoiVTM!$J:$J,MATCH(B27,KhoiVTM!$C:$C,0)),"@")="",TEXT(INDEX(KhoiVTM!$J:$J,MATCH(B27,KhoiVTM!$C:$C,0)),"@")="—")),EXACT(TEXT(D27,"@"),TEXT(INDEX(KhoiVTM!$J:$J,MATCH(B27,KhoiVTM!$C:$C,0)),"@"))),FALSE())*1)+(IFERROR(OR(AND(OR(E27="—",E27=""),OR(TEXT(INDEX(KhoiVTM!$M:$M,MATCH(B27,KhoiVTM!$C:$C,0)),"@")="",TEXT(INDEX(KhoiVTM!$M:$M,MATCH(B27,KhoiVTM!$C:$C,0)),"@")="—")),EXACT(TEXT(E27,"@"),TEXT(INDEX(KhoiVTM!$M:$M,MATCH(B27,KhoiVTM!$C:$C,0)),"@"))),FALSE())*1)=4,"Match",IF((EXACT(C27,IFERROR(INDEX(KhoiVTM!$D:$D,MATCH(B27,KhoiVTM!$C:$C,0)),"__NA__"))*1)+(IFERROR(F27=INDEX(KhoiVTM!$F:$F,MATCH(B27,KhoiVTM!$C:$C,0)),FALSE())*1)+(IFERROR(OR(AND(OR(D27="—",D27=""),OR(TEXT(INDEX(KhoiVTM!$J:$J,MATCH(B27,KhoiVTM!$C:$C,0)),"@")="",TEXT(INDEX(KhoiVTM!$J:$J,MATCH(B27,KhoiVTM!$C:$C,0)),"@")="—")),EXACT(TEXT(D27,"@"),TEXT(INDEX(KhoiVTM!$J:$J,MATCH(B27,KhoiVTM!$C:$C,0)),"@"))),FALSE())*1)+(IFERROR(OR(AND(OR(E27="—",E27=""),OR(TEXT(INDEX(KhoiVTM!$M:$M,MATCH(B27,KhoiVTM!$C:$C,0)),"@")="",TEXT(INDEX(KhoiVTM!$M:$M,MATCH(B27,KhoiVTM!$C:$C,0)),"@")="—")),EXACT(TEXT(E27,"@"),TEXT(INDEX(KhoiVTM!$M:$M,MATCH(B27,KhoiVTM!$C:$C,0)),"@"))),FALSE())*1)&gt;=3,"Partial","Mismatch"))),"Not Found")</f>
        <v>Match</v>
      </c>
    </row>
    <row r="28" spans="1:14" x14ac:dyDescent="0.25">
      <c r="A28" s="114">
        <f>KhoiVTM!A28</f>
        <v>27</v>
      </c>
      <c r="B28" s="114" t="str">
        <f>KhoiVTM!C28</f>
        <v>GRM1885C1H470JA01D</v>
      </c>
      <c r="C28" s="114" t="str">
        <f>KhoiVTM!D28</f>
        <v>CAP CER 47PF 50V C0G/NP0 0603</v>
      </c>
      <c r="D28" s="113" t="s">
        <v>529</v>
      </c>
      <c r="E28" s="113" t="str">
        <f t="shared" si="2"/>
        <v>0603</v>
      </c>
      <c r="F28" s="114">
        <f>KhoiVTM!F28</f>
        <v>25</v>
      </c>
      <c r="G28" s="114">
        <v>0</v>
      </c>
      <c r="H28" s="114">
        <v>0</v>
      </c>
      <c r="I28" s="114">
        <f t="shared" si="0"/>
        <v>25</v>
      </c>
      <c r="J28" s="58" t="str">
        <f t="shared" si="1"/>
        <v>Capacitor</v>
      </c>
      <c r="K28" s="62" t="s">
        <v>25</v>
      </c>
      <c r="L28" s="114" t="s">
        <v>515</v>
      </c>
      <c r="M28" s="56"/>
      <c r="N28" s="57" t="str">
        <f>IFERROR(IF(ISERROR(MATCH(B28,KhoiVTM!$C:$C,0)),"Not Found",IF((EXACT(C28,IFERROR(INDEX(KhoiVTM!$D:$D,MATCH(B28,KhoiVTM!$C:$C,0)),"__NA__"))*1)+(IFERROR(F28=INDEX(KhoiVTM!$F:$F,MATCH(B28,KhoiVTM!$C:$C,0)),FALSE())*1)+(IFERROR(OR(AND(OR(D28="—",D28=""),OR(TEXT(INDEX(KhoiVTM!$J:$J,MATCH(B28,KhoiVTM!$C:$C,0)),"@")="",TEXT(INDEX(KhoiVTM!$J:$J,MATCH(B28,KhoiVTM!$C:$C,0)),"@")="—")),EXACT(TEXT(D28,"@"),TEXT(INDEX(KhoiVTM!$J:$J,MATCH(B28,KhoiVTM!$C:$C,0)),"@"))),FALSE())*1)+(IFERROR(OR(AND(OR(E28="—",E28=""),OR(TEXT(INDEX(KhoiVTM!$M:$M,MATCH(B28,KhoiVTM!$C:$C,0)),"@")="",TEXT(INDEX(KhoiVTM!$M:$M,MATCH(B28,KhoiVTM!$C:$C,0)),"@")="—")),EXACT(TEXT(E28,"@"),TEXT(INDEX(KhoiVTM!$M:$M,MATCH(B28,KhoiVTM!$C:$C,0)),"@"))),FALSE())*1)=4,"Match",IF((EXACT(C28,IFERROR(INDEX(KhoiVTM!$D:$D,MATCH(B28,KhoiVTM!$C:$C,0)),"__NA__"))*1)+(IFERROR(F28=INDEX(KhoiVTM!$F:$F,MATCH(B28,KhoiVTM!$C:$C,0)),FALSE())*1)+(IFERROR(OR(AND(OR(D28="—",D28=""),OR(TEXT(INDEX(KhoiVTM!$J:$J,MATCH(B28,KhoiVTM!$C:$C,0)),"@")="",TEXT(INDEX(KhoiVTM!$J:$J,MATCH(B28,KhoiVTM!$C:$C,0)),"@")="—")),EXACT(TEXT(D28,"@"),TEXT(INDEX(KhoiVTM!$J:$J,MATCH(B28,KhoiVTM!$C:$C,0)),"@"))),FALSE())*1)+(IFERROR(OR(AND(OR(E28="—",E28=""),OR(TEXT(INDEX(KhoiVTM!$M:$M,MATCH(B28,KhoiVTM!$C:$C,0)),"@")="",TEXT(INDEX(KhoiVTM!$M:$M,MATCH(B28,KhoiVTM!$C:$C,0)),"@")="—")),EXACT(TEXT(E28,"@"),TEXT(INDEX(KhoiVTM!$M:$M,MATCH(B28,KhoiVTM!$C:$C,0)),"@"))),FALSE())*1)&gt;=3,"Partial","Mismatch"))),"Not Found")</f>
        <v>Match</v>
      </c>
    </row>
    <row r="29" spans="1:14" x14ac:dyDescent="0.25">
      <c r="A29" s="114">
        <f>KhoiVTM!A29</f>
        <v>28</v>
      </c>
      <c r="B29" s="114" t="str">
        <f>KhoiVTM!C29</f>
        <v>GRM188R72A104KA35D</v>
      </c>
      <c r="C29" s="114" t="str">
        <f>KhoiVTM!D29</f>
        <v>CAP CER 0.1UF 100V X7R 0603</v>
      </c>
      <c r="D29" s="113" t="s">
        <v>522</v>
      </c>
      <c r="E29" s="113" t="str">
        <f t="shared" si="2"/>
        <v>0603</v>
      </c>
      <c r="F29" s="114">
        <f>KhoiVTM!F29</f>
        <v>25</v>
      </c>
      <c r="G29" s="114">
        <v>27</v>
      </c>
      <c r="H29" s="114">
        <v>0</v>
      </c>
      <c r="I29" s="114">
        <f t="shared" si="0"/>
        <v>25</v>
      </c>
      <c r="J29" s="58" t="str">
        <f t="shared" si="1"/>
        <v>Capacitor</v>
      </c>
      <c r="K29" s="62" t="s">
        <v>25</v>
      </c>
      <c r="L29" s="114" t="s">
        <v>515</v>
      </c>
      <c r="M29" s="56"/>
      <c r="N29" s="57" t="str">
        <f>IFERROR(IF(ISERROR(MATCH(B29,KhoiVTM!$C:$C,0)),"Not Found",IF((EXACT(C29,IFERROR(INDEX(KhoiVTM!$D:$D,MATCH(B29,KhoiVTM!$C:$C,0)),"__NA__"))*1)+(IFERROR(F29=INDEX(KhoiVTM!$F:$F,MATCH(B29,KhoiVTM!$C:$C,0)),FALSE())*1)+(IFERROR(OR(AND(OR(D29="—",D29=""),OR(TEXT(INDEX(KhoiVTM!$J:$J,MATCH(B29,KhoiVTM!$C:$C,0)),"@")="",TEXT(INDEX(KhoiVTM!$J:$J,MATCH(B29,KhoiVTM!$C:$C,0)),"@")="—")),EXACT(TEXT(D29,"@"),TEXT(INDEX(KhoiVTM!$J:$J,MATCH(B29,KhoiVTM!$C:$C,0)),"@"))),FALSE())*1)+(IFERROR(OR(AND(OR(E29="—",E29=""),OR(TEXT(INDEX(KhoiVTM!$M:$M,MATCH(B29,KhoiVTM!$C:$C,0)),"@")="",TEXT(INDEX(KhoiVTM!$M:$M,MATCH(B29,KhoiVTM!$C:$C,0)),"@")="—")),EXACT(TEXT(E29,"@"),TEXT(INDEX(KhoiVTM!$M:$M,MATCH(B29,KhoiVTM!$C:$C,0)),"@"))),FALSE())*1)=4,"Match",IF((EXACT(C29,IFERROR(INDEX(KhoiVTM!$D:$D,MATCH(B29,KhoiVTM!$C:$C,0)),"__NA__"))*1)+(IFERROR(F29=INDEX(KhoiVTM!$F:$F,MATCH(B29,KhoiVTM!$C:$C,0)),FALSE())*1)+(IFERROR(OR(AND(OR(D29="—",D29=""),OR(TEXT(INDEX(KhoiVTM!$J:$J,MATCH(B29,KhoiVTM!$C:$C,0)),"@")="",TEXT(INDEX(KhoiVTM!$J:$J,MATCH(B29,KhoiVTM!$C:$C,0)),"@")="—")),EXACT(TEXT(D29,"@"),TEXT(INDEX(KhoiVTM!$J:$J,MATCH(B29,KhoiVTM!$C:$C,0)),"@"))),FALSE())*1)+(IFERROR(OR(AND(OR(E29="—",E29=""),OR(TEXT(INDEX(KhoiVTM!$M:$M,MATCH(B29,KhoiVTM!$C:$C,0)),"@")="",TEXT(INDEX(KhoiVTM!$M:$M,MATCH(B29,KhoiVTM!$C:$C,0)),"@")="—")),EXACT(TEXT(E29,"@"),TEXT(INDEX(KhoiVTM!$M:$M,MATCH(B29,KhoiVTM!$C:$C,0)),"@"))),FALSE())*1)&gt;=3,"Partial","Mismatch"))),"Not Found")</f>
        <v>Match</v>
      </c>
    </row>
    <row r="30" spans="1:14" x14ac:dyDescent="0.25">
      <c r="A30" s="114">
        <f>KhoiVTM!A30</f>
        <v>29</v>
      </c>
      <c r="B30" s="114" t="str">
        <f>KhoiVTM!C30</f>
        <v>GRM188R72A103KA01D</v>
      </c>
      <c r="C30" s="114" t="str">
        <f>KhoiVTM!D30</f>
        <v>CAP CER 10000PF 100V X7R 0603</v>
      </c>
      <c r="D30" s="113" t="s">
        <v>530</v>
      </c>
      <c r="E30" s="113" t="str">
        <f t="shared" si="2"/>
        <v>0603</v>
      </c>
      <c r="F30" s="114">
        <f>KhoiVTM!F30</f>
        <v>25</v>
      </c>
      <c r="G30" s="114">
        <v>3</v>
      </c>
      <c r="H30" s="114">
        <v>0</v>
      </c>
      <c r="I30" s="114">
        <f t="shared" si="0"/>
        <v>25</v>
      </c>
      <c r="J30" s="58" t="str">
        <f t="shared" si="1"/>
        <v>Capacitor</v>
      </c>
      <c r="K30" s="62" t="s">
        <v>25</v>
      </c>
      <c r="L30" s="114" t="s">
        <v>515</v>
      </c>
      <c r="M30" s="56"/>
      <c r="N30" s="57" t="str">
        <f>IFERROR(IF(ISERROR(MATCH(B30,KhoiVTM!$C:$C,0)),"Not Found",IF((EXACT(C30,IFERROR(INDEX(KhoiVTM!$D:$D,MATCH(B30,KhoiVTM!$C:$C,0)),"__NA__"))*1)+(IFERROR(F30=INDEX(KhoiVTM!$F:$F,MATCH(B30,KhoiVTM!$C:$C,0)),FALSE())*1)+(IFERROR(OR(AND(OR(D30="—",D30=""),OR(TEXT(INDEX(KhoiVTM!$J:$J,MATCH(B30,KhoiVTM!$C:$C,0)),"@")="",TEXT(INDEX(KhoiVTM!$J:$J,MATCH(B30,KhoiVTM!$C:$C,0)),"@")="—")),EXACT(TEXT(D30,"@"),TEXT(INDEX(KhoiVTM!$J:$J,MATCH(B30,KhoiVTM!$C:$C,0)),"@"))),FALSE())*1)+(IFERROR(OR(AND(OR(E30="—",E30=""),OR(TEXT(INDEX(KhoiVTM!$M:$M,MATCH(B30,KhoiVTM!$C:$C,0)),"@")="",TEXT(INDEX(KhoiVTM!$M:$M,MATCH(B30,KhoiVTM!$C:$C,0)),"@")="—")),EXACT(TEXT(E30,"@"),TEXT(INDEX(KhoiVTM!$M:$M,MATCH(B30,KhoiVTM!$C:$C,0)),"@"))),FALSE())*1)=4,"Match",IF((EXACT(C30,IFERROR(INDEX(KhoiVTM!$D:$D,MATCH(B30,KhoiVTM!$C:$C,0)),"__NA__"))*1)+(IFERROR(F30=INDEX(KhoiVTM!$F:$F,MATCH(B30,KhoiVTM!$C:$C,0)),FALSE())*1)+(IFERROR(OR(AND(OR(D30="—",D30=""),OR(TEXT(INDEX(KhoiVTM!$J:$J,MATCH(B30,KhoiVTM!$C:$C,0)),"@")="",TEXT(INDEX(KhoiVTM!$J:$J,MATCH(B30,KhoiVTM!$C:$C,0)),"@")="—")),EXACT(TEXT(D30,"@"),TEXT(INDEX(KhoiVTM!$J:$J,MATCH(B30,KhoiVTM!$C:$C,0)),"@"))),FALSE())*1)+(IFERROR(OR(AND(OR(E30="—",E30=""),OR(TEXT(INDEX(KhoiVTM!$M:$M,MATCH(B30,KhoiVTM!$C:$C,0)),"@")="",TEXT(INDEX(KhoiVTM!$M:$M,MATCH(B30,KhoiVTM!$C:$C,0)),"@")="—")),EXACT(TEXT(E30,"@"),TEXT(INDEX(KhoiVTM!$M:$M,MATCH(B30,KhoiVTM!$C:$C,0)),"@"))),FALSE())*1)&gt;=3,"Partial","Mismatch"))),"Not Found")</f>
        <v>Match</v>
      </c>
    </row>
    <row r="31" spans="1:14" x14ac:dyDescent="0.25">
      <c r="A31" s="114">
        <f>KhoiVTM!A31</f>
        <v>30</v>
      </c>
      <c r="B31" s="114" t="str">
        <f>KhoiVTM!C31</f>
        <v>ERJ-3EKF49R9V</v>
      </c>
      <c r="C31" s="114" t="str">
        <f>KhoiVTM!D31</f>
        <v>RES SMD 49.9 OHM 1% 1/10W 0603</v>
      </c>
      <c r="D31" s="113">
        <v>49.9</v>
      </c>
      <c r="E31" s="113" t="str">
        <f t="shared" si="2"/>
        <v>0603</v>
      </c>
      <c r="F31" s="114">
        <f>KhoiVTM!F31</f>
        <v>25</v>
      </c>
      <c r="G31" s="114">
        <v>4</v>
      </c>
      <c r="H31" s="114">
        <v>0</v>
      </c>
      <c r="I31" s="114">
        <f t="shared" si="0"/>
        <v>25</v>
      </c>
      <c r="J31" s="58" t="str">
        <f t="shared" si="1"/>
        <v>Resistor</v>
      </c>
      <c r="K31" s="62" t="s">
        <v>25</v>
      </c>
      <c r="L31" s="114" t="s">
        <v>515</v>
      </c>
      <c r="M31" s="56"/>
      <c r="N31" s="57" t="str">
        <f>IFERROR(IF(ISERROR(MATCH(B31,KhoiVTM!$C:$C,0)),"Not Found",IF((EXACT(C31,IFERROR(INDEX(KhoiVTM!$D:$D,MATCH(B31,KhoiVTM!$C:$C,0)),"__NA__"))*1)+(IFERROR(F31=INDEX(KhoiVTM!$F:$F,MATCH(B31,KhoiVTM!$C:$C,0)),FALSE())*1)+(IFERROR(OR(AND(OR(D31="—",D31=""),OR(TEXT(INDEX(KhoiVTM!$J:$J,MATCH(B31,KhoiVTM!$C:$C,0)),"@")="",TEXT(INDEX(KhoiVTM!$J:$J,MATCH(B31,KhoiVTM!$C:$C,0)),"@")="—")),EXACT(TEXT(D31,"@"),TEXT(INDEX(KhoiVTM!$J:$J,MATCH(B31,KhoiVTM!$C:$C,0)),"@"))),FALSE())*1)+(IFERROR(OR(AND(OR(E31="—",E31=""),OR(TEXT(INDEX(KhoiVTM!$M:$M,MATCH(B31,KhoiVTM!$C:$C,0)),"@")="",TEXT(INDEX(KhoiVTM!$M:$M,MATCH(B31,KhoiVTM!$C:$C,0)),"@")="—")),EXACT(TEXT(E31,"@"),TEXT(INDEX(KhoiVTM!$M:$M,MATCH(B31,KhoiVTM!$C:$C,0)),"@"))),FALSE())*1)=4,"Match",IF((EXACT(C31,IFERROR(INDEX(KhoiVTM!$D:$D,MATCH(B31,KhoiVTM!$C:$C,0)),"__NA__"))*1)+(IFERROR(F31=INDEX(KhoiVTM!$F:$F,MATCH(B31,KhoiVTM!$C:$C,0)),FALSE())*1)+(IFERROR(OR(AND(OR(D31="—",D31=""),OR(TEXT(INDEX(KhoiVTM!$J:$J,MATCH(B31,KhoiVTM!$C:$C,0)),"@")="",TEXT(INDEX(KhoiVTM!$J:$J,MATCH(B31,KhoiVTM!$C:$C,0)),"@")="—")),EXACT(TEXT(D31,"@"),TEXT(INDEX(KhoiVTM!$J:$J,MATCH(B31,KhoiVTM!$C:$C,0)),"@"))),FALSE())*1)+(IFERROR(OR(AND(OR(E31="—",E31=""),OR(TEXT(INDEX(KhoiVTM!$M:$M,MATCH(B31,KhoiVTM!$C:$C,0)),"@")="",TEXT(INDEX(KhoiVTM!$M:$M,MATCH(B31,KhoiVTM!$C:$C,0)),"@")="—")),EXACT(TEXT(E31,"@"),TEXT(INDEX(KhoiVTM!$M:$M,MATCH(B31,KhoiVTM!$C:$C,0)),"@"))),FALSE())*1)&gt;=3,"Partial","Mismatch"))),"Not Found")</f>
        <v>Match</v>
      </c>
    </row>
    <row r="32" spans="1:14" x14ac:dyDescent="0.25">
      <c r="A32" s="114">
        <f>KhoiVTM!A32</f>
        <v>31</v>
      </c>
      <c r="B32" s="114" t="str">
        <f>KhoiVTM!C32</f>
        <v>AD8014ARZ</v>
      </c>
      <c r="C32" s="114" t="str">
        <f>KhoiVTM!D32</f>
        <v>IC OPAMP CFA 1 CIRCUIT 8SOIC</v>
      </c>
      <c r="D32" s="113" t="s">
        <v>514</v>
      </c>
      <c r="E32" s="113" t="s">
        <v>531</v>
      </c>
      <c r="F32" s="114">
        <f>KhoiVTM!F32</f>
        <v>4</v>
      </c>
      <c r="G32" s="114">
        <v>1</v>
      </c>
      <c r="H32" s="114">
        <v>0</v>
      </c>
      <c r="I32" s="114">
        <f t="shared" si="0"/>
        <v>4</v>
      </c>
      <c r="J32" s="58" t="str">
        <f t="shared" si="1"/>
        <v>Other</v>
      </c>
      <c r="K32" s="62" t="s">
        <v>25</v>
      </c>
      <c r="L32" s="114" t="s">
        <v>515</v>
      </c>
      <c r="M32" s="56"/>
      <c r="N32" s="57" t="str">
        <f>IFERROR(IF(ISERROR(MATCH(B32,KhoiVTM!$C:$C,0)),"Not Found",IF((EXACT(C32,IFERROR(INDEX(KhoiVTM!$D:$D,MATCH(B32,KhoiVTM!$C:$C,0)),"__NA__"))*1)+(IFERROR(F32=INDEX(KhoiVTM!$F:$F,MATCH(B32,KhoiVTM!$C:$C,0)),FALSE())*1)+(IFERROR(OR(AND(OR(D32="—",D32=""),OR(TEXT(INDEX(KhoiVTM!$J:$J,MATCH(B32,KhoiVTM!$C:$C,0)),"@")="",TEXT(INDEX(KhoiVTM!$J:$J,MATCH(B32,KhoiVTM!$C:$C,0)),"@")="—")),EXACT(TEXT(D32,"@"),TEXT(INDEX(KhoiVTM!$J:$J,MATCH(B32,KhoiVTM!$C:$C,0)),"@"))),FALSE())*1)+(IFERROR(OR(AND(OR(E32="—",E32=""),OR(TEXT(INDEX(KhoiVTM!$M:$M,MATCH(B32,KhoiVTM!$C:$C,0)),"@")="",TEXT(INDEX(KhoiVTM!$M:$M,MATCH(B32,KhoiVTM!$C:$C,0)),"@")="—")),EXACT(TEXT(E32,"@"),TEXT(INDEX(KhoiVTM!$M:$M,MATCH(B32,KhoiVTM!$C:$C,0)),"@"))),FALSE())*1)=4,"Match",IF((EXACT(C32,IFERROR(INDEX(KhoiVTM!$D:$D,MATCH(B32,KhoiVTM!$C:$C,0)),"__NA__"))*1)+(IFERROR(F32=INDEX(KhoiVTM!$F:$F,MATCH(B32,KhoiVTM!$C:$C,0)),FALSE())*1)+(IFERROR(OR(AND(OR(D32="—",D32=""),OR(TEXT(INDEX(KhoiVTM!$J:$J,MATCH(B32,KhoiVTM!$C:$C,0)),"@")="",TEXT(INDEX(KhoiVTM!$J:$J,MATCH(B32,KhoiVTM!$C:$C,0)),"@")="—")),EXACT(TEXT(D32,"@"),TEXT(INDEX(KhoiVTM!$J:$J,MATCH(B32,KhoiVTM!$C:$C,0)),"@"))),FALSE())*1)+(IFERROR(OR(AND(OR(E32="—",E32=""),OR(TEXT(INDEX(KhoiVTM!$M:$M,MATCH(B32,KhoiVTM!$C:$C,0)),"@")="",TEXT(INDEX(KhoiVTM!$M:$M,MATCH(B32,KhoiVTM!$C:$C,0)),"@")="—")),EXACT(TEXT(E32,"@"),TEXT(INDEX(KhoiVTM!$M:$M,MATCH(B32,KhoiVTM!$C:$C,0)),"@"))),FALSE())*1)&gt;=3,"Partial","Mismatch"))),"Not Found")</f>
        <v>Partial</v>
      </c>
    </row>
    <row r="33" spans="1:14" x14ac:dyDescent="0.25">
      <c r="A33" s="114">
        <f>KhoiVTM!A33</f>
        <v>32</v>
      </c>
      <c r="B33" s="114" t="str">
        <f>KhoiVTM!C33</f>
        <v>LQW18ANR27J00D</v>
      </c>
      <c r="C33" s="114" t="str">
        <f>KhoiVTM!D33</f>
        <v>FIXED IND 270NH 0603 (Murata LQW18, high-Q)</v>
      </c>
      <c r="D33" s="113" t="s">
        <v>160</v>
      </c>
      <c r="E33" s="115" t="s">
        <v>162</v>
      </c>
      <c r="F33" s="114">
        <f>KhoiVTM!F33</f>
        <v>25</v>
      </c>
      <c r="G33" s="114">
        <v>0</v>
      </c>
      <c r="H33" s="114">
        <v>0</v>
      </c>
      <c r="I33" s="114">
        <f t="shared" si="0"/>
        <v>25</v>
      </c>
      <c r="J33" s="58" t="str">
        <f t="shared" si="1"/>
        <v>Other</v>
      </c>
      <c r="K33" s="62" t="s">
        <v>25</v>
      </c>
      <c r="L33" s="114" t="s">
        <v>515</v>
      </c>
      <c r="M33" s="56"/>
      <c r="N33" s="57" t="str">
        <f>IFERROR(IF(ISERROR(MATCH(B33,KhoiVTM!$C:$C,0)),"Not Found",IF((EXACT(C33,IFERROR(INDEX(KhoiVTM!$D:$D,MATCH(B33,KhoiVTM!$C:$C,0)),"__NA__"))*1)+(IFERROR(F33=INDEX(KhoiVTM!$F:$F,MATCH(B33,KhoiVTM!$C:$C,0)),FALSE())*1)+(IFERROR(OR(AND(OR(D33="—",D33=""),OR(TEXT(INDEX(KhoiVTM!$J:$J,MATCH(B33,KhoiVTM!$C:$C,0)),"@")="",TEXT(INDEX(KhoiVTM!$J:$J,MATCH(B33,KhoiVTM!$C:$C,0)),"@")="—")),EXACT(TEXT(D33,"@"),TEXT(INDEX(KhoiVTM!$J:$J,MATCH(B33,KhoiVTM!$C:$C,0)),"@"))),FALSE())*1)+(IFERROR(OR(AND(OR(E33="—",E33=""),OR(TEXT(INDEX(KhoiVTM!$M:$M,MATCH(B33,KhoiVTM!$C:$C,0)),"@")="",TEXT(INDEX(KhoiVTM!$M:$M,MATCH(B33,KhoiVTM!$C:$C,0)),"@")="—")),EXACT(TEXT(E33,"@"),TEXT(INDEX(KhoiVTM!$M:$M,MATCH(B33,KhoiVTM!$C:$C,0)),"@"))),FALSE())*1)=4,"Match",IF((EXACT(C33,IFERROR(INDEX(KhoiVTM!$D:$D,MATCH(B33,KhoiVTM!$C:$C,0)),"__NA__"))*1)+(IFERROR(F33=INDEX(KhoiVTM!$F:$F,MATCH(B33,KhoiVTM!$C:$C,0)),FALSE())*1)+(IFERROR(OR(AND(OR(D33="—",D33=""),OR(TEXT(INDEX(KhoiVTM!$J:$J,MATCH(B33,KhoiVTM!$C:$C,0)),"@")="",TEXT(INDEX(KhoiVTM!$J:$J,MATCH(B33,KhoiVTM!$C:$C,0)),"@")="—")),EXACT(TEXT(D33,"@"),TEXT(INDEX(KhoiVTM!$J:$J,MATCH(B33,KhoiVTM!$C:$C,0)),"@"))),FALSE())*1)+(IFERROR(OR(AND(OR(E33="—",E33=""),OR(TEXT(INDEX(KhoiVTM!$M:$M,MATCH(B33,KhoiVTM!$C:$C,0)),"@")="",TEXT(INDEX(KhoiVTM!$M:$M,MATCH(B33,KhoiVTM!$C:$C,0)),"@")="—")),EXACT(TEXT(E33,"@"),TEXT(INDEX(KhoiVTM!$M:$M,MATCH(B33,KhoiVTM!$C:$C,0)),"@"))),FALSE())*1)&gt;=3,"Partial","Mismatch"))),"Not Found")</f>
        <v>Match</v>
      </c>
    </row>
    <row r="34" spans="1:14" x14ac:dyDescent="0.25">
      <c r="A34" s="114">
        <f>KhoiVTM!A34</f>
        <v>33</v>
      </c>
      <c r="B34" s="114" t="str">
        <f>KhoiVTM!C34</f>
        <v>LQW18ANR39J00D</v>
      </c>
      <c r="C34" s="114" t="str">
        <f>KhoiVTM!D34</f>
        <v>FIXED IND 390NH 0603 (Murata LQW18, high-Q)</v>
      </c>
      <c r="D34" s="113" t="s">
        <v>168</v>
      </c>
      <c r="E34" s="113">
        <v>603</v>
      </c>
      <c r="F34" s="114">
        <f>KhoiVTM!F34</f>
        <v>25</v>
      </c>
      <c r="G34" s="114">
        <v>0</v>
      </c>
      <c r="H34" s="114">
        <v>0</v>
      </c>
      <c r="I34" s="114">
        <f t="shared" ref="I34:I65" si="3">F34-H34</f>
        <v>25</v>
      </c>
      <c r="J34" s="58" t="str">
        <f t="shared" ref="J34:J65" si="4">IF(LEFT(C34,3)="RES", "Resistor", IF(LEFT(C34,3)="CAP", "Capacitor", "Other"))</f>
        <v>Other</v>
      </c>
      <c r="K34" s="62" t="s">
        <v>25</v>
      </c>
      <c r="L34" s="114" t="s">
        <v>515</v>
      </c>
      <c r="M34" s="56"/>
      <c r="N34" s="57" t="str">
        <f>IFERROR(IF(ISERROR(MATCH(B34,KhoiVTM!$C:$C,0)),"Not Found",IF((EXACT(C34,IFERROR(INDEX(KhoiVTM!$D:$D,MATCH(B34,KhoiVTM!$C:$C,0)),"__NA__"))*1)+(IFERROR(F34=INDEX(KhoiVTM!$F:$F,MATCH(B34,KhoiVTM!$C:$C,0)),FALSE())*1)+(IFERROR(OR(AND(OR(D34="—",D34=""),OR(TEXT(INDEX(KhoiVTM!$J:$J,MATCH(B34,KhoiVTM!$C:$C,0)),"@")="",TEXT(INDEX(KhoiVTM!$J:$J,MATCH(B34,KhoiVTM!$C:$C,0)),"@")="—")),EXACT(TEXT(D34,"@"),TEXT(INDEX(KhoiVTM!$J:$J,MATCH(B34,KhoiVTM!$C:$C,0)),"@"))),FALSE())*1)+(IFERROR(OR(AND(OR(E34="—",E34=""),OR(TEXT(INDEX(KhoiVTM!$M:$M,MATCH(B34,KhoiVTM!$C:$C,0)),"@")="",TEXT(INDEX(KhoiVTM!$M:$M,MATCH(B34,KhoiVTM!$C:$C,0)),"@")="—")),EXACT(TEXT(E34,"@"),TEXT(INDEX(KhoiVTM!$M:$M,MATCH(B34,KhoiVTM!$C:$C,0)),"@"))),FALSE())*1)=4,"Match",IF((EXACT(C34,IFERROR(INDEX(KhoiVTM!$D:$D,MATCH(B34,KhoiVTM!$C:$C,0)),"__NA__"))*1)+(IFERROR(F34=INDEX(KhoiVTM!$F:$F,MATCH(B34,KhoiVTM!$C:$C,0)),FALSE())*1)+(IFERROR(OR(AND(OR(D34="—",D34=""),OR(TEXT(INDEX(KhoiVTM!$J:$J,MATCH(B34,KhoiVTM!$C:$C,0)),"@")="",TEXT(INDEX(KhoiVTM!$J:$J,MATCH(B34,KhoiVTM!$C:$C,0)),"@")="—")),EXACT(TEXT(D34,"@"),TEXT(INDEX(KhoiVTM!$J:$J,MATCH(B34,KhoiVTM!$C:$C,0)),"@"))),FALSE())*1)+(IFERROR(OR(AND(OR(E34="—",E34=""),OR(TEXT(INDEX(KhoiVTM!$M:$M,MATCH(B34,KhoiVTM!$C:$C,0)),"@")="",TEXT(INDEX(KhoiVTM!$M:$M,MATCH(B34,KhoiVTM!$C:$C,0)),"@")="—")),EXACT(TEXT(E34,"@"),TEXT(INDEX(KhoiVTM!$M:$M,MATCH(B34,KhoiVTM!$C:$C,0)),"@"))),FALSE())*1)&gt;=3,"Partial","Mismatch"))),"Not Found")</f>
        <v>Match</v>
      </c>
    </row>
    <row r="35" spans="1:14" x14ac:dyDescent="0.25">
      <c r="A35" s="114">
        <f>KhoiVTM!A35</f>
        <v>34</v>
      </c>
      <c r="B35" s="114" t="str">
        <f>KhoiVTM!C35</f>
        <v>LQW18ANR47J00D</v>
      </c>
      <c r="C35" s="114" t="str">
        <f>KhoiVTM!D35</f>
        <v>FIXED IND 470NH 0603 (Murata LQW18, high-Q)</v>
      </c>
      <c r="D35" s="113" t="s">
        <v>173</v>
      </c>
      <c r="E35" s="113">
        <v>603</v>
      </c>
      <c r="F35" s="114">
        <f>KhoiVTM!F35</f>
        <v>25</v>
      </c>
      <c r="G35" s="114">
        <v>0</v>
      </c>
      <c r="H35" s="114">
        <v>0</v>
      </c>
      <c r="I35" s="114">
        <f t="shared" si="3"/>
        <v>25</v>
      </c>
      <c r="J35" s="58" t="str">
        <f t="shared" si="4"/>
        <v>Other</v>
      </c>
      <c r="K35" s="62" t="s">
        <v>25</v>
      </c>
      <c r="L35" s="114" t="s">
        <v>515</v>
      </c>
      <c r="M35" s="56"/>
      <c r="N35" s="57" t="str">
        <f>IFERROR(IF(ISERROR(MATCH(B35,KhoiVTM!$C:$C,0)),"Not Found",IF((EXACT(C35,IFERROR(INDEX(KhoiVTM!$D:$D,MATCH(B35,KhoiVTM!$C:$C,0)),"__NA__"))*1)+(IFERROR(F35=INDEX(KhoiVTM!$F:$F,MATCH(B35,KhoiVTM!$C:$C,0)),FALSE())*1)+(IFERROR(OR(AND(OR(D35="—",D35=""),OR(TEXT(INDEX(KhoiVTM!$J:$J,MATCH(B35,KhoiVTM!$C:$C,0)),"@")="",TEXT(INDEX(KhoiVTM!$J:$J,MATCH(B35,KhoiVTM!$C:$C,0)),"@")="—")),EXACT(TEXT(D35,"@"),TEXT(INDEX(KhoiVTM!$J:$J,MATCH(B35,KhoiVTM!$C:$C,0)),"@"))),FALSE())*1)+(IFERROR(OR(AND(OR(E35="—",E35=""),OR(TEXT(INDEX(KhoiVTM!$M:$M,MATCH(B35,KhoiVTM!$C:$C,0)),"@")="",TEXT(INDEX(KhoiVTM!$M:$M,MATCH(B35,KhoiVTM!$C:$C,0)),"@")="—")),EXACT(TEXT(E35,"@"),TEXT(INDEX(KhoiVTM!$M:$M,MATCH(B35,KhoiVTM!$C:$C,0)),"@"))),FALSE())*1)=4,"Match",IF((EXACT(C35,IFERROR(INDEX(KhoiVTM!$D:$D,MATCH(B35,KhoiVTM!$C:$C,0)),"__NA__"))*1)+(IFERROR(F35=INDEX(KhoiVTM!$F:$F,MATCH(B35,KhoiVTM!$C:$C,0)),FALSE())*1)+(IFERROR(OR(AND(OR(D35="—",D35=""),OR(TEXT(INDEX(KhoiVTM!$J:$J,MATCH(B35,KhoiVTM!$C:$C,0)),"@")="",TEXT(INDEX(KhoiVTM!$J:$J,MATCH(B35,KhoiVTM!$C:$C,0)),"@")="—")),EXACT(TEXT(D35,"@"),TEXT(INDEX(KhoiVTM!$J:$J,MATCH(B35,KhoiVTM!$C:$C,0)),"@"))),FALSE())*1)+(IFERROR(OR(AND(OR(E35="—",E35=""),OR(TEXT(INDEX(KhoiVTM!$M:$M,MATCH(B35,KhoiVTM!$C:$C,0)),"@")="",TEXT(INDEX(KhoiVTM!$M:$M,MATCH(B35,KhoiVTM!$C:$C,0)),"@")="—")),EXACT(TEXT(E35,"@"),TEXT(INDEX(KhoiVTM!$M:$M,MATCH(B35,KhoiVTM!$C:$C,0)),"@"))),FALSE())*1)&gt;=3,"Partial","Mismatch"))),"Not Found")</f>
        <v>Match</v>
      </c>
    </row>
    <row r="36" spans="1:14" x14ac:dyDescent="0.25">
      <c r="A36" s="114">
        <f>KhoiVTM!A36</f>
        <v>35</v>
      </c>
      <c r="B36" s="114" t="str">
        <f>KhoiVTM!C36</f>
        <v>ASDMB-75.000MHZ-LY-T</v>
      </c>
      <c r="C36" s="114" t="str">
        <f>KhoiVTM!D36</f>
        <v>MEMS OSC XO 75.0000MHZ LVCMOS (AD9834 MCLK)</v>
      </c>
      <c r="D36" s="113" t="s">
        <v>178</v>
      </c>
      <c r="E36" s="113" t="s">
        <v>180</v>
      </c>
      <c r="F36" s="114">
        <f>KhoiVTM!F36</f>
        <v>4</v>
      </c>
      <c r="G36" s="114">
        <v>1</v>
      </c>
      <c r="H36" s="114">
        <v>0</v>
      </c>
      <c r="I36" s="114">
        <f t="shared" si="3"/>
        <v>4</v>
      </c>
      <c r="J36" s="58" t="str">
        <f t="shared" si="4"/>
        <v>Other</v>
      </c>
      <c r="K36" s="62" t="s">
        <v>25</v>
      </c>
      <c r="L36" s="114" t="s">
        <v>515</v>
      </c>
      <c r="M36" s="56"/>
      <c r="N36" s="57" t="str">
        <f>IFERROR(IF(ISERROR(MATCH(B36,KhoiVTM!$C:$C,0)),"Not Found",IF((EXACT(C36,IFERROR(INDEX(KhoiVTM!$D:$D,MATCH(B36,KhoiVTM!$C:$C,0)),"__NA__"))*1)+(IFERROR(F36=INDEX(KhoiVTM!$F:$F,MATCH(B36,KhoiVTM!$C:$C,0)),FALSE())*1)+(IFERROR(OR(AND(OR(D36="—",D36=""),OR(TEXT(INDEX(KhoiVTM!$J:$J,MATCH(B36,KhoiVTM!$C:$C,0)),"@")="",TEXT(INDEX(KhoiVTM!$J:$J,MATCH(B36,KhoiVTM!$C:$C,0)),"@")="—")),EXACT(TEXT(D36,"@"),TEXT(INDEX(KhoiVTM!$J:$J,MATCH(B36,KhoiVTM!$C:$C,0)),"@"))),FALSE())*1)+(IFERROR(OR(AND(OR(E36="—",E36=""),OR(TEXT(INDEX(KhoiVTM!$M:$M,MATCH(B36,KhoiVTM!$C:$C,0)),"@")="",TEXT(INDEX(KhoiVTM!$M:$M,MATCH(B36,KhoiVTM!$C:$C,0)),"@")="—")),EXACT(TEXT(E36,"@"),TEXT(INDEX(KhoiVTM!$M:$M,MATCH(B36,KhoiVTM!$C:$C,0)),"@"))),FALSE())*1)=4,"Match",IF((EXACT(C36,IFERROR(INDEX(KhoiVTM!$D:$D,MATCH(B36,KhoiVTM!$C:$C,0)),"__NA__"))*1)+(IFERROR(F36=INDEX(KhoiVTM!$F:$F,MATCH(B36,KhoiVTM!$C:$C,0)),FALSE())*1)+(IFERROR(OR(AND(OR(D36="—",D36=""),OR(TEXT(INDEX(KhoiVTM!$J:$J,MATCH(B36,KhoiVTM!$C:$C,0)),"@")="",TEXT(INDEX(KhoiVTM!$J:$J,MATCH(B36,KhoiVTM!$C:$C,0)),"@")="—")),EXACT(TEXT(D36,"@"),TEXT(INDEX(KhoiVTM!$J:$J,MATCH(B36,KhoiVTM!$C:$C,0)),"@"))),FALSE())*1)+(IFERROR(OR(AND(OR(E36="—",E36=""),OR(TEXT(INDEX(KhoiVTM!$M:$M,MATCH(B36,KhoiVTM!$C:$C,0)),"@")="",TEXT(INDEX(KhoiVTM!$M:$M,MATCH(B36,KhoiVTM!$C:$C,0)),"@")="—")),EXACT(TEXT(E36,"@"),TEXT(INDEX(KhoiVTM!$M:$M,MATCH(B36,KhoiVTM!$C:$C,0)),"@"))),FALSE())*1)&gt;=3,"Partial","Mismatch"))),"Not Found")</f>
        <v>Match</v>
      </c>
    </row>
    <row r="37" spans="1:14" x14ac:dyDescent="0.25">
      <c r="A37" s="114">
        <f>KhoiVTM!A37</f>
        <v>36</v>
      </c>
      <c r="B37" s="114" t="str">
        <f>KhoiVTM!C37</f>
        <v>TLV75533PDBVR</v>
      </c>
      <c r="C37" s="114" t="str">
        <f>KhoiVTM!D37</f>
        <v>IC REG LINEAR 3.3V 500MA</v>
      </c>
      <c r="D37" s="113" t="s">
        <v>514</v>
      </c>
      <c r="E37" s="113" t="s">
        <v>186</v>
      </c>
      <c r="F37" s="114">
        <f>KhoiVTM!F37</f>
        <v>10</v>
      </c>
      <c r="G37" s="114">
        <v>0</v>
      </c>
      <c r="H37" s="114">
        <v>0</v>
      </c>
      <c r="I37" s="114">
        <f t="shared" si="3"/>
        <v>10</v>
      </c>
      <c r="J37" s="58" t="str">
        <f t="shared" si="4"/>
        <v>Other</v>
      </c>
      <c r="K37" s="62" t="s">
        <v>25</v>
      </c>
      <c r="L37" s="114" t="s">
        <v>515</v>
      </c>
      <c r="M37" s="56"/>
      <c r="N37" s="57" t="str">
        <f>IFERROR(IF(ISERROR(MATCH(B37,KhoiVTM!$C:$C,0)),"Not Found",IF((EXACT(C37,IFERROR(INDEX(KhoiVTM!$D:$D,MATCH(B37,KhoiVTM!$C:$C,0)),"__NA__"))*1)+(IFERROR(F37=INDEX(KhoiVTM!$F:$F,MATCH(B37,KhoiVTM!$C:$C,0)),FALSE())*1)+(IFERROR(OR(AND(OR(D37="—",D37=""),OR(TEXT(INDEX(KhoiVTM!$J:$J,MATCH(B37,KhoiVTM!$C:$C,0)),"@")="",TEXT(INDEX(KhoiVTM!$J:$J,MATCH(B37,KhoiVTM!$C:$C,0)),"@")="—")),EXACT(TEXT(D37,"@"),TEXT(INDEX(KhoiVTM!$J:$J,MATCH(B37,KhoiVTM!$C:$C,0)),"@"))),FALSE())*1)+(IFERROR(OR(AND(OR(E37="—",E37=""),OR(TEXT(INDEX(KhoiVTM!$M:$M,MATCH(B37,KhoiVTM!$C:$C,0)),"@")="",TEXT(INDEX(KhoiVTM!$M:$M,MATCH(B37,KhoiVTM!$C:$C,0)),"@")="—")),EXACT(TEXT(E37,"@"),TEXT(INDEX(KhoiVTM!$M:$M,MATCH(B37,KhoiVTM!$C:$C,0)),"@"))),FALSE())*1)=4,"Match",IF((EXACT(C37,IFERROR(INDEX(KhoiVTM!$D:$D,MATCH(B37,KhoiVTM!$C:$C,0)),"__NA__"))*1)+(IFERROR(F37=INDEX(KhoiVTM!$F:$F,MATCH(B37,KhoiVTM!$C:$C,0)),FALSE())*1)+(IFERROR(OR(AND(OR(D37="—",D37=""),OR(TEXT(INDEX(KhoiVTM!$J:$J,MATCH(B37,KhoiVTM!$C:$C,0)),"@")="",TEXT(INDEX(KhoiVTM!$J:$J,MATCH(B37,KhoiVTM!$C:$C,0)),"@")="—")),EXACT(TEXT(D37,"@"),TEXT(INDEX(KhoiVTM!$J:$J,MATCH(B37,KhoiVTM!$C:$C,0)),"@"))),FALSE())*1)+(IFERROR(OR(AND(OR(E37="—",E37=""),OR(TEXT(INDEX(KhoiVTM!$M:$M,MATCH(B37,KhoiVTM!$C:$C,0)),"@")="",TEXT(INDEX(KhoiVTM!$M:$M,MATCH(B37,KhoiVTM!$C:$C,0)),"@")="—")),EXACT(TEXT(E37,"@"),TEXT(INDEX(KhoiVTM!$M:$M,MATCH(B37,KhoiVTM!$C:$C,0)),"@"))),FALSE())*1)&gt;=3,"Partial","Mismatch"))),"Not Found")</f>
        <v>Partial</v>
      </c>
    </row>
    <row r="38" spans="1:14" x14ac:dyDescent="0.25">
      <c r="A38" s="114">
        <f>KhoiVTM!A38</f>
        <v>37</v>
      </c>
      <c r="B38" s="114" t="str">
        <f>KhoiVTM!C38</f>
        <v>1206L050/15YR</v>
      </c>
      <c r="C38" s="114" t="str">
        <f>KhoiVTM!D38</f>
        <v>PTC RESET FUSE 15V 500MA 1206 (input protection)</v>
      </c>
      <c r="D38" s="113" t="s">
        <v>514</v>
      </c>
      <c r="E38" s="113">
        <v>1206</v>
      </c>
      <c r="F38" s="114">
        <f>KhoiVTM!F38</f>
        <v>10</v>
      </c>
      <c r="G38" s="114">
        <v>0</v>
      </c>
      <c r="H38" s="114">
        <v>0</v>
      </c>
      <c r="I38" s="114">
        <f t="shared" si="3"/>
        <v>10</v>
      </c>
      <c r="J38" s="58" t="str">
        <f t="shared" si="4"/>
        <v>Other</v>
      </c>
      <c r="K38" s="62" t="s">
        <v>25</v>
      </c>
      <c r="L38" s="114" t="s">
        <v>515</v>
      </c>
      <c r="M38" s="56"/>
      <c r="N38" s="57" t="str">
        <f>IFERROR(IF(ISERROR(MATCH(B38,KhoiVTM!$C:$C,0)),"Not Found",IF((EXACT(C38,IFERROR(INDEX(KhoiVTM!$D:$D,MATCH(B38,KhoiVTM!$C:$C,0)),"__NA__"))*1)+(IFERROR(F38=INDEX(KhoiVTM!$F:$F,MATCH(B38,KhoiVTM!$C:$C,0)),FALSE())*1)+(IFERROR(OR(AND(OR(D38="—",D38=""),OR(TEXT(INDEX(KhoiVTM!$J:$J,MATCH(B38,KhoiVTM!$C:$C,0)),"@")="",TEXT(INDEX(KhoiVTM!$J:$J,MATCH(B38,KhoiVTM!$C:$C,0)),"@")="—")),EXACT(TEXT(D38,"@"),TEXT(INDEX(KhoiVTM!$J:$J,MATCH(B38,KhoiVTM!$C:$C,0)),"@"))),FALSE())*1)+(IFERROR(OR(AND(OR(E38="—",E38=""),OR(TEXT(INDEX(KhoiVTM!$M:$M,MATCH(B38,KhoiVTM!$C:$C,0)),"@")="",TEXT(INDEX(KhoiVTM!$M:$M,MATCH(B38,KhoiVTM!$C:$C,0)),"@")="—")),EXACT(TEXT(E38,"@"),TEXT(INDEX(KhoiVTM!$M:$M,MATCH(B38,KhoiVTM!$C:$C,0)),"@"))),FALSE())*1)=4,"Match",IF((EXACT(C38,IFERROR(INDEX(KhoiVTM!$D:$D,MATCH(B38,KhoiVTM!$C:$C,0)),"__NA__"))*1)+(IFERROR(F38=INDEX(KhoiVTM!$F:$F,MATCH(B38,KhoiVTM!$C:$C,0)),FALSE())*1)+(IFERROR(OR(AND(OR(D38="—",D38=""),OR(TEXT(INDEX(KhoiVTM!$J:$J,MATCH(B38,KhoiVTM!$C:$C,0)),"@")="",TEXT(INDEX(KhoiVTM!$J:$J,MATCH(B38,KhoiVTM!$C:$C,0)),"@")="—")),EXACT(TEXT(D38,"@"),TEXT(INDEX(KhoiVTM!$J:$J,MATCH(B38,KhoiVTM!$C:$C,0)),"@"))),FALSE())*1)+(IFERROR(OR(AND(OR(E38="—",E38=""),OR(TEXT(INDEX(KhoiVTM!$M:$M,MATCH(B38,KhoiVTM!$C:$C,0)),"@")="",TEXT(INDEX(KhoiVTM!$M:$M,MATCH(B38,KhoiVTM!$C:$C,0)),"@")="—")),EXACT(TEXT(E38,"@"),TEXT(INDEX(KhoiVTM!$M:$M,MATCH(B38,KhoiVTM!$C:$C,0)),"@"))),FALSE())*1)&gt;=3,"Partial","Mismatch"))),"Not Found")</f>
        <v>Partial</v>
      </c>
    </row>
    <row r="39" spans="1:14" x14ac:dyDescent="0.25">
      <c r="A39" s="114">
        <f>KhoiVTM!A39</f>
        <v>38</v>
      </c>
      <c r="B39" s="114" t="str">
        <f>KhoiVTM!C39</f>
        <v>SMF5.0A</v>
      </c>
      <c r="C39" s="114" t="str">
        <f>KhoiVTM!D39</f>
        <v>TVS DIODE 5VWM 9.2VC SOD-123F (5V rail surge/ESD)</v>
      </c>
      <c r="D39" s="113" t="s">
        <v>514</v>
      </c>
      <c r="E39" s="113" t="s">
        <v>198</v>
      </c>
      <c r="F39" s="114">
        <f>KhoiVTM!F39</f>
        <v>10</v>
      </c>
      <c r="G39" s="114">
        <v>0</v>
      </c>
      <c r="H39" s="114">
        <v>0</v>
      </c>
      <c r="I39" s="114">
        <f t="shared" si="3"/>
        <v>10</v>
      </c>
      <c r="J39" s="58" t="str">
        <f t="shared" si="4"/>
        <v>Other</v>
      </c>
      <c r="K39" s="62" t="s">
        <v>25</v>
      </c>
      <c r="L39" s="114" t="s">
        <v>515</v>
      </c>
      <c r="M39" s="56"/>
      <c r="N39" s="57" t="str">
        <f>IFERROR(IF(ISERROR(MATCH(B39,KhoiVTM!$C:$C,0)),"Not Found",IF((EXACT(C39,IFERROR(INDEX(KhoiVTM!$D:$D,MATCH(B39,KhoiVTM!$C:$C,0)),"__NA__"))*1)+(IFERROR(F39=INDEX(KhoiVTM!$F:$F,MATCH(B39,KhoiVTM!$C:$C,0)),FALSE())*1)+(IFERROR(OR(AND(OR(D39="—",D39=""),OR(TEXT(INDEX(KhoiVTM!$J:$J,MATCH(B39,KhoiVTM!$C:$C,0)),"@")="",TEXT(INDEX(KhoiVTM!$J:$J,MATCH(B39,KhoiVTM!$C:$C,0)),"@")="—")),EXACT(TEXT(D39,"@"),TEXT(INDEX(KhoiVTM!$J:$J,MATCH(B39,KhoiVTM!$C:$C,0)),"@"))),FALSE())*1)+(IFERROR(OR(AND(OR(E39="—",E39=""),OR(TEXT(INDEX(KhoiVTM!$M:$M,MATCH(B39,KhoiVTM!$C:$C,0)),"@")="",TEXT(INDEX(KhoiVTM!$M:$M,MATCH(B39,KhoiVTM!$C:$C,0)),"@")="—")),EXACT(TEXT(E39,"@"),TEXT(INDEX(KhoiVTM!$M:$M,MATCH(B39,KhoiVTM!$C:$C,0)),"@"))),FALSE())*1)=4,"Match",IF((EXACT(C39,IFERROR(INDEX(KhoiVTM!$D:$D,MATCH(B39,KhoiVTM!$C:$C,0)),"__NA__"))*1)+(IFERROR(F39=INDEX(KhoiVTM!$F:$F,MATCH(B39,KhoiVTM!$C:$C,0)),FALSE())*1)+(IFERROR(OR(AND(OR(D39="—",D39=""),OR(TEXT(INDEX(KhoiVTM!$J:$J,MATCH(B39,KhoiVTM!$C:$C,0)),"@")="",TEXT(INDEX(KhoiVTM!$J:$J,MATCH(B39,KhoiVTM!$C:$C,0)),"@")="—")),EXACT(TEXT(D39,"@"),TEXT(INDEX(KhoiVTM!$J:$J,MATCH(B39,KhoiVTM!$C:$C,0)),"@"))),FALSE())*1)+(IFERROR(OR(AND(OR(E39="—",E39=""),OR(TEXT(INDEX(KhoiVTM!$M:$M,MATCH(B39,KhoiVTM!$C:$C,0)),"@")="",TEXT(INDEX(KhoiVTM!$M:$M,MATCH(B39,KhoiVTM!$C:$C,0)),"@")="—")),EXACT(TEXT(E39,"@"),TEXT(INDEX(KhoiVTM!$M:$M,MATCH(B39,KhoiVTM!$C:$C,0)),"@"))),FALSE())*1)&gt;=3,"Partial","Mismatch"))),"Not Found")</f>
        <v>Partial</v>
      </c>
    </row>
    <row r="40" spans="1:14" x14ac:dyDescent="0.25">
      <c r="A40" s="114">
        <f>KhoiVTM!A40</f>
        <v>39</v>
      </c>
      <c r="B40" s="114" t="str">
        <f>KhoiVTM!C40</f>
        <v>TPD2E2U06QDBZRQ1</v>
      </c>
      <c r="C40" s="114" t="str">
        <f>KhoiVTM!D40</f>
        <v>TVS DIODE 5.5VWM 12.4VC SOT23-3</v>
      </c>
      <c r="D40" s="113" t="s">
        <v>514</v>
      </c>
      <c r="E40" s="113" t="s">
        <v>514</v>
      </c>
      <c r="F40" s="114">
        <f>KhoiVTM!F40</f>
        <v>10</v>
      </c>
      <c r="G40" s="114">
        <v>0</v>
      </c>
      <c r="H40" s="114">
        <v>0</v>
      </c>
      <c r="I40" s="114">
        <f t="shared" si="3"/>
        <v>10</v>
      </c>
      <c r="J40" s="58" t="str">
        <f t="shared" si="4"/>
        <v>Other</v>
      </c>
      <c r="K40" s="95" t="s">
        <v>532</v>
      </c>
      <c r="L40" s="114" t="s">
        <v>515</v>
      </c>
      <c r="M40" s="56"/>
      <c r="N40" s="57" t="str">
        <f>IFERROR(IF(ISERROR(MATCH(B40,KhoiVTM!$C:$C,0)),"Not Found",IF((EXACT(C40,IFERROR(INDEX(KhoiVTM!$D:$D,MATCH(B40,KhoiVTM!$C:$C,0)),"__NA__"))*1)+(IFERROR(F40=INDEX(KhoiVTM!$F:$F,MATCH(B40,KhoiVTM!$C:$C,0)),FALSE())*1)+(IFERROR(OR(AND(OR(D40="—",D40=""),OR(TEXT(INDEX(KhoiVTM!$J:$J,MATCH(B40,KhoiVTM!$C:$C,0)),"@")="",TEXT(INDEX(KhoiVTM!$J:$J,MATCH(B40,KhoiVTM!$C:$C,0)),"@")="—")),EXACT(TEXT(D40,"@"),TEXT(INDEX(KhoiVTM!$J:$J,MATCH(B40,KhoiVTM!$C:$C,0)),"@"))),FALSE())*1)+(IFERROR(OR(AND(OR(E40="—",E40=""),OR(TEXT(INDEX(KhoiVTM!$M:$M,MATCH(B40,KhoiVTM!$C:$C,0)),"@")="",TEXT(INDEX(KhoiVTM!$M:$M,MATCH(B40,KhoiVTM!$C:$C,0)),"@")="—")),EXACT(TEXT(E40,"@"),TEXT(INDEX(KhoiVTM!$M:$M,MATCH(B40,KhoiVTM!$C:$C,0)),"@"))),FALSE())*1)=4,"Match",IF((EXACT(C40,IFERROR(INDEX(KhoiVTM!$D:$D,MATCH(B40,KhoiVTM!$C:$C,0)),"__NA__"))*1)+(IFERROR(F40=INDEX(KhoiVTM!$F:$F,MATCH(B40,KhoiVTM!$C:$C,0)),FALSE())*1)+(IFERROR(OR(AND(OR(D40="—",D40=""),OR(TEXT(INDEX(KhoiVTM!$J:$J,MATCH(B40,KhoiVTM!$C:$C,0)),"@")="",TEXT(INDEX(KhoiVTM!$J:$J,MATCH(B40,KhoiVTM!$C:$C,0)),"@")="—")),EXACT(TEXT(D40,"@"),TEXT(INDEX(KhoiVTM!$J:$J,MATCH(B40,KhoiVTM!$C:$C,0)),"@"))),FALSE())*1)+(IFERROR(OR(AND(OR(E40="—",E40=""),OR(TEXT(INDEX(KhoiVTM!$M:$M,MATCH(B40,KhoiVTM!$C:$C,0)),"@")="",TEXT(INDEX(KhoiVTM!$M:$M,MATCH(B40,KhoiVTM!$C:$C,0)),"@")="—")),EXACT(TEXT(E40,"@"),TEXT(INDEX(KhoiVTM!$M:$M,MATCH(B40,KhoiVTM!$C:$C,0)),"@"))),FALSE())*1)&gt;=3,"Partial","Mismatch"))),"Not Found")</f>
        <v>Mismatch</v>
      </c>
    </row>
    <row r="41" spans="1:14" x14ac:dyDescent="0.25">
      <c r="A41" s="114">
        <f>KhoiVTM!A41</f>
        <v>40</v>
      </c>
      <c r="B41" s="114" t="str">
        <f>KhoiVTM!C41</f>
        <v>SS24</v>
      </c>
      <c r="C41" s="114" t="str">
        <f>KhoiVTM!D41</f>
        <v>DIODE SCHOTTKY 40V 2A DO214AA</v>
      </c>
      <c r="D41" s="113" t="s">
        <v>514</v>
      </c>
      <c r="E41" s="113" t="s">
        <v>514</v>
      </c>
      <c r="F41" s="114">
        <f>KhoiVTM!F41</f>
        <v>10</v>
      </c>
      <c r="G41" s="114">
        <v>0</v>
      </c>
      <c r="H41" s="114">
        <v>0</v>
      </c>
      <c r="I41" s="114">
        <f t="shared" si="3"/>
        <v>10</v>
      </c>
      <c r="J41" s="58" t="str">
        <f t="shared" si="4"/>
        <v>Other</v>
      </c>
      <c r="K41" s="62" t="s">
        <v>25</v>
      </c>
      <c r="L41" s="114" t="s">
        <v>515</v>
      </c>
      <c r="M41" s="56"/>
      <c r="N41" s="57" t="str">
        <f>IFERROR(IF(ISERROR(MATCH(B41,KhoiVTM!$C:$C,0)),"Not Found",IF((EXACT(C41,IFERROR(INDEX(KhoiVTM!$D:$D,MATCH(B41,KhoiVTM!$C:$C,0)),"__NA__"))*1)+(IFERROR(F41=INDEX(KhoiVTM!$F:$F,MATCH(B41,KhoiVTM!$C:$C,0)),FALSE())*1)+(IFERROR(OR(AND(OR(D41="—",D41=""),OR(TEXT(INDEX(KhoiVTM!$J:$J,MATCH(B41,KhoiVTM!$C:$C,0)),"@")="",TEXT(INDEX(KhoiVTM!$J:$J,MATCH(B41,KhoiVTM!$C:$C,0)),"@")="—")),EXACT(TEXT(D41,"@"),TEXT(INDEX(KhoiVTM!$J:$J,MATCH(B41,KhoiVTM!$C:$C,0)),"@"))),FALSE())*1)+(IFERROR(OR(AND(OR(E41="—",E41=""),OR(TEXT(INDEX(KhoiVTM!$M:$M,MATCH(B41,KhoiVTM!$C:$C,0)),"@")="",TEXT(INDEX(KhoiVTM!$M:$M,MATCH(B41,KhoiVTM!$C:$C,0)),"@")="—")),EXACT(TEXT(E41,"@"),TEXT(INDEX(KhoiVTM!$M:$M,MATCH(B41,KhoiVTM!$C:$C,0)),"@"))),FALSE())*1)=4,"Match",IF((EXACT(C41,IFERROR(INDEX(KhoiVTM!$D:$D,MATCH(B41,KhoiVTM!$C:$C,0)),"__NA__"))*1)+(IFERROR(F41=INDEX(KhoiVTM!$F:$F,MATCH(B41,KhoiVTM!$C:$C,0)),FALSE())*1)+(IFERROR(OR(AND(OR(D41="—",D41=""),OR(TEXT(INDEX(KhoiVTM!$J:$J,MATCH(B41,KhoiVTM!$C:$C,0)),"@")="",TEXT(INDEX(KhoiVTM!$J:$J,MATCH(B41,KhoiVTM!$C:$C,0)),"@")="—")),EXACT(TEXT(D41,"@"),TEXT(INDEX(KhoiVTM!$J:$J,MATCH(B41,KhoiVTM!$C:$C,0)),"@"))),FALSE())*1)+(IFERROR(OR(AND(OR(E41="—",E41=""),OR(TEXT(INDEX(KhoiVTM!$M:$M,MATCH(B41,KhoiVTM!$C:$C,0)),"@")="",TEXT(INDEX(KhoiVTM!$M:$M,MATCH(B41,KhoiVTM!$C:$C,0)),"@")="—")),EXACT(TEXT(E41,"@"),TEXT(INDEX(KhoiVTM!$M:$M,MATCH(B41,KhoiVTM!$C:$C,0)),"@"))),FALSE())*1)&gt;=3,"Partial","Mismatch"))),"Not Found")</f>
        <v>Mismatch</v>
      </c>
    </row>
    <row r="42" spans="1:14" x14ac:dyDescent="0.25">
      <c r="A42" s="114">
        <f>KhoiVTM!A42</f>
        <v>41</v>
      </c>
      <c r="B42" s="114" t="str">
        <f>KhoiVTM!C42</f>
        <v>GRM32ER71E226KE15L</v>
      </c>
      <c r="C42" s="114" t="str">
        <f>KhoiVTM!D42</f>
        <v>CAP CER 22UF 25V X7R 1210</v>
      </c>
      <c r="D42" s="113" t="s">
        <v>533</v>
      </c>
      <c r="E42" s="113" t="str">
        <f>RIGHT(TRIM(C42), 4)</f>
        <v>1210</v>
      </c>
      <c r="F42" s="114">
        <f>KhoiVTM!F42</f>
        <v>10</v>
      </c>
      <c r="G42" s="114">
        <v>0</v>
      </c>
      <c r="H42" s="114">
        <v>0</v>
      </c>
      <c r="I42" s="114">
        <f t="shared" si="3"/>
        <v>10</v>
      </c>
      <c r="J42" s="58" t="str">
        <f t="shared" si="4"/>
        <v>Capacitor</v>
      </c>
      <c r="K42" s="62" t="s">
        <v>25</v>
      </c>
      <c r="L42" s="114" t="s">
        <v>515</v>
      </c>
      <c r="M42" s="56"/>
      <c r="N42" s="57" t="str">
        <f>IFERROR(IF(ISERROR(MATCH(B42,KhoiVTM!$C:$C,0)),"Not Found",IF((EXACT(C42,IFERROR(INDEX(KhoiVTM!$D:$D,MATCH(B42,KhoiVTM!$C:$C,0)),"__NA__"))*1)+(IFERROR(F42=INDEX(KhoiVTM!$F:$F,MATCH(B42,KhoiVTM!$C:$C,0)),FALSE())*1)+(IFERROR(OR(AND(OR(D42="—",D42=""),OR(TEXT(INDEX(KhoiVTM!$J:$J,MATCH(B42,KhoiVTM!$C:$C,0)),"@")="",TEXT(INDEX(KhoiVTM!$J:$J,MATCH(B42,KhoiVTM!$C:$C,0)),"@")="—")),EXACT(TEXT(D42,"@"),TEXT(INDEX(KhoiVTM!$J:$J,MATCH(B42,KhoiVTM!$C:$C,0)),"@"))),FALSE())*1)+(IFERROR(OR(AND(OR(E42="—",E42=""),OR(TEXT(INDEX(KhoiVTM!$M:$M,MATCH(B42,KhoiVTM!$C:$C,0)),"@")="",TEXT(INDEX(KhoiVTM!$M:$M,MATCH(B42,KhoiVTM!$C:$C,0)),"@")="—")),EXACT(TEXT(E42,"@"),TEXT(INDEX(KhoiVTM!$M:$M,MATCH(B42,KhoiVTM!$C:$C,0)),"@"))),FALSE())*1)=4,"Match",IF((EXACT(C42,IFERROR(INDEX(KhoiVTM!$D:$D,MATCH(B42,KhoiVTM!$C:$C,0)),"__NA__"))*1)+(IFERROR(F42=INDEX(KhoiVTM!$F:$F,MATCH(B42,KhoiVTM!$C:$C,0)),FALSE())*1)+(IFERROR(OR(AND(OR(D42="—",D42=""),OR(TEXT(INDEX(KhoiVTM!$J:$J,MATCH(B42,KhoiVTM!$C:$C,0)),"@")="",TEXT(INDEX(KhoiVTM!$J:$J,MATCH(B42,KhoiVTM!$C:$C,0)),"@")="—")),EXACT(TEXT(D42,"@"),TEXT(INDEX(KhoiVTM!$J:$J,MATCH(B42,KhoiVTM!$C:$C,0)),"@"))),FALSE())*1)+(IFERROR(OR(AND(OR(E42="—",E42=""),OR(TEXT(INDEX(KhoiVTM!$M:$M,MATCH(B42,KhoiVTM!$C:$C,0)),"@")="",TEXT(INDEX(KhoiVTM!$M:$M,MATCH(B42,KhoiVTM!$C:$C,0)),"@")="—")),EXACT(TEXT(E42,"@"),TEXT(INDEX(KhoiVTM!$M:$M,MATCH(B42,KhoiVTM!$C:$C,0)),"@"))),FALSE())*1)&gt;=3,"Partial","Mismatch"))),"Not Found")</f>
        <v>Match</v>
      </c>
    </row>
    <row r="43" spans="1:14" x14ac:dyDescent="0.25">
      <c r="A43" s="114">
        <f>KhoiVTM!A43</f>
        <v>42</v>
      </c>
      <c r="B43" s="114" t="str">
        <f>KhoiVTM!C43</f>
        <v>GRM155R71H104KE14D</v>
      </c>
      <c r="C43" s="114" t="str">
        <f>KhoiVTM!D43</f>
        <v>CAP CER 0.1UF 50V X7R 0402</v>
      </c>
      <c r="D43" s="113" t="s">
        <v>522</v>
      </c>
      <c r="E43" s="113" t="str">
        <f>RIGHT(TRIM(C43), 4)</f>
        <v>0402</v>
      </c>
      <c r="F43" s="114">
        <f>KhoiVTM!F43</f>
        <v>30</v>
      </c>
      <c r="G43" s="114">
        <v>0</v>
      </c>
      <c r="H43" s="114">
        <v>0</v>
      </c>
      <c r="I43" s="114">
        <f t="shared" si="3"/>
        <v>30</v>
      </c>
      <c r="J43" s="58" t="str">
        <f t="shared" si="4"/>
        <v>Capacitor</v>
      </c>
      <c r="K43" s="62" t="s">
        <v>25</v>
      </c>
      <c r="L43" s="114" t="s">
        <v>515</v>
      </c>
      <c r="M43" s="56"/>
      <c r="N43" s="57" t="str">
        <f>IFERROR(IF(ISERROR(MATCH(B43,KhoiVTM!$C:$C,0)),"Not Found",IF((EXACT(C43,IFERROR(INDEX(KhoiVTM!$D:$D,MATCH(B43,KhoiVTM!$C:$C,0)),"__NA__"))*1)+(IFERROR(F43=INDEX(KhoiVTM!$F:$F,MATCH(B43,KhoiVTM!$C:$C,0)),FALSE())*1)+(IFERROR(OR(AND(OR(D43="—",D43=""),OR(TEXT(INDEX(KhoiVTM!$J:$J,MATCH(B43,KhoiVTM!$C:$C,0)),"@")="",TEXT(INDEX(KhoiVTM!$J:$J,MATCH(B43,KhoiVTM!$C:$C,0)),"@")="—")),EXACT(TEXT(D43,"@"),TEXT(INDEX(KhoiVTM!$J:$J,MATCH(B43,KhoiVTM!$C:$C,0)),"@"))),FALSE())*1)+(IFERROR(OR(AND(OR(E43="—",E43=""),OR(TEXT(INDEX(KhoiVTM!$M:$M,MATCH(B43,KhoiVTM!$C:$C,0)),"@")="",TEXT(INDEX(KhoiVTM!$M:$M,MATCH(B43,KhoiVTM!$C:$C,0)),"@")="—")),EXACT(TEXT(E43,"@"),TEXT(INDEX(KhoiVTM!$M:$M,MATCH(B43,KhoiVTM!$C:$C,0)),"@"))),FALSE())*1)=4,"Match",IF((EXACT(C43,IFERROR(INDEX(KhoiVTM!$D:$D,MATCH(B43,KhoiVTM!$C:$C,0)),"__NA__"))*1)+(IFERROR(F43=INDEX(KhoiVTM!$F:$F,MATCH(B43,KhoiVTM!$C:$C,0)),FALSE())*1)+(IFERROR(OR(AND(OR(D43="—",D43=""),OR(TEXT(INDEX(KhoiVTM!$J:$J,MATCH(B43,KhoiVTM!$C:$C,0)),"@")="",TEXT(INDEX(KhoiVTM!$J:$J,MATCH(B43,KhoiVTM!$C:$C,0)),"@")="—")),EXACT(TEXT(D43,"@"),TEXT(INDEX(KhoiVTM!$J:$J,MATCH(B43,KhoiVTM!$C:$C,0)),"@"))),FALSE())*1)+(IFERROR(OR(AND(OR(E43="—",E43=""),OR(TEXT(INDEX(KhoiVTM!$M:$M,MATCH(B43,KhoiVTM!$C:$C,0)),"@")="",TEXT(INDEX(KhoiVTM!$M:$M,MATCH(B43,KhoiVTM!$C:$C,0)),"@")="—")),EXACT(TEXT(E43,"@"),TEXT(INDEX(KhoiVTM!$M:$M,MATCH(B43,KhoiVTM!$C:$C,0)),"@"))),FALSE())*1)&gt;=3,"Partial","Mismatch"))),"Not Found")</f>
        <v>Mismatch</v>
      </c>
    </row>
    <row r="44" spans="1:14" x14ac:dyDescent="0.25">
      <c r="A44" s="114">
        <f>KhoiVTM!A44</f>
        <v>43</v>
      </c>
      <c r="B44" s="114" t="str">
        <f>KhoiVTM!C44</f>
        <v>ADP5070AREZ</v>
      </c>
      <c r="C44" s="114" t="str">
        <f>KhoiVTM!D44</f>
        <v>IC REG BST SEPIC ADJ DL 20TSSOP</v>
      </c>
      <c r="D44" s="113" t="s">
        <v>514</v>
      </c>
      <c r="E44" s="113" t="s">
        <v>514</v>
      </c>
      <c r="F44" s="114">
        <f>KhoiVTM!F44</f>
        <v>4</v>
      </c>
      <c r="G44" s="114">
        <v>0</v>
      </c>
      <c r="H44" s="114">
        <v>0</v>
      </c>
      <c r="I44" s="114">
        <f t="shared" si="3"/>
        <v>4</v>
      </c>
      <c r="J44" s="58" t="str">
        <f t="shared" si="4"/>
        <v>Other</v>
      </c>
      <c r="K44" s="62" t="s">
        <v>25</v>
      </c>
      <c r="L44" s="114" t="s">
        <v>515</v>
      </c>
      <c r="M44" s="56"/>
      <c r="N44" s="57" t="str">
        <f>IFERROR(IF(ISERROR(MATCH(B44,KhoiVTM!$C:$C,0)),"Not Found",IF((EXACT(C44,IFERROR(INDEX(KhoiVTM!$D:$D,MATCH(B44,KhoiVTM!$C:$C,0)),"__NA__"))*1)+(IFERROR(F44=INDEX(KhoiVTM!$F:$F,MATCH(B44,KhoiVTM!$C:$C,0)),FALSE())*1)+(IFERROR(OR(AND(OR(D44="—",D44=""),OR(TEXT(INDEX(KhoiVTM!$J:$J,MATCH(B44,KhoiVTM!$C:$C,0)),"@")="",TEXT(INDEX(KhoiVTM!$J:$J,MATCH(B44,KhoiVTM!$C:$C,0)),"@")="—")),EXACT(TEXT(D44,"@"),TEXT(INDEX(KhoiVTM!$J:$J,MATCH(B44,KhoiVTM!$C:$C,0)),"@"))),FALSE())*1)+(IFERROR(OR(AND(OR(E44="—",E44=""),OR(TEXT(INDEX(KhoiVTM!$M:$M,MATCH(B44,KhoiVTM!$C:$C,0)),"@")="",TEXT(INDEX(KhoiVTM!$M:$M,MATCH(B44,KhoiVTM!$C:$C,0)),"@")="—")),EXACT(TEXT(E44,"@"),TEXT(INDEX(KhoiVTM!$M:$M,MATCH(B44,KhoiVTM!$C:$C,0)),"@"))),FALSE())*1)=4,"Match",IF((EXACT(C44,IFERROR(INDEX(KhoiVTM!$D:$D,MATCH(B44,KhoiVTM!$C:$C,0)),"__NA__"))*1)+(IFERROR(F44=INDEX(KhoiVTM!$F:$F,MATCH(B44,KhoiVTM!$C:$C,0)),FALSE())*1)+(IFERROR(OR(AND(OR(D44="—",D44=""),OR(TEXT(INDEX(KhoiVTM!$J:$J,MATCH(B44,KhoiVTM!$C:$C,0)),"@")="",TEXT(INDEX(KhoiVTM!$J:$J,MATCH(B44,KhoiVTM!$C:$C,0)),"@")="—")),EXACT(TEXT(D44,"@"),TEXT(INDEX(KhoiVTM!$J:$J,MATCH(B44,KhoiVTM!$C:$C,0)),"@"))),FALSE())*1)+(IFERROR(OR(AND(OR(E44="—",E44=""),OR(TEXT(INDEX(KhoiVTM!$M:$M,MATCH(B44,KhoiVTM!$C:$C,0)),"@")="",TEXT(INDEX(KhoiVTM!$M:$M,MATCH(B44,KhoiVTM!$C:$C,0)),"@")="—")),EXACT(TEXT(E44,"@"),TEXT(INDEX(KhoiVTM!$M:$M,MATCH(B44,KhoiVTM!$C:$C,0)),"@"))),FALSE())*1)&gt;=3,"Partial","Mismatch"))),"Not Found")</f>
        <v>Mismatch</v>
      </c>
    </row>
    <row r="45" spans="1:14" x14ac:dyDescent="0.25">
      <c r="A45" s="114">
        <f>KhoiVTM!A45</f>
        <v>44</v>
      </c>
      <c r="B45" s="114" t="str">
        <f>KhoiVTM!C45</f>
        <v>DFLS240-7</v>
      </c>
      <c r="C45" s="114" t="str">
        <f>KhoiVTM!D45</f>
        <v>DIODE SCHOTTK 40V 2A POWERDI 123</v>
      </c>
      <c r="D45" s="113" t="s">
        <v>514</v>
      </c>
      <c r="E45" s="113" t="s">
        <v>514</v>
      </c>
      <c r="F45" s="114">
        <f>KhoiVTM!F45</f>
        <v>30</v>
      </c>
      <c r="G45" s="114">
        <v>0</v>
      </c>
      <c r="H45" s="114">
        <v>0</v>
      </c>
      <c r="I45" s="114">
        <f t="shared" si="3"/>
        <v>30</v>
      </c>
      <c r="J45" s="58" t="str">
        <f t="shared" si="4"/>
        <v>Other</v>
      </c>
      <c r="K45" s="62" t="s">
        <v>25</v>
      </c>
      <c r="L45" s="114" t="s">
        <v>515</v>
      </c>
      <c r="M45" s="56"/>
      <c r="N45" s="57" t="str">
        <f>IFERROR(IF(ISERROR(MATCH(B45,KhoiVTM!$C:$C,0)),"Not Found",IF((EXACT(C45,IFERROR(INDEX(KhoiVTM!$D:$D,MATCH(B45,KhoiVTM!$C:$C,0)),"__NA__"))*1)+(IFERROR(F45=INDEX(KhoiVTM!$F:$F,MATCH(B45,KhoiVTM!$C:$C,0)),FALSE())*1)+(IFERROR(OR(AND(OR(D45="—",D45=""),OR(TEXT(INDEX(KhoiVTM!$J:$J,MATCH(B45,KhoiVTM!$C:$C,0)),"@")="",TEXT(INDEX(KhoiVTM!$J:$J,MATCH(B45,KhoiVTM!$C:$C,0)),"@")="—")),EXACT(TEXT(D45,"@"),TEXT(INDEX(KhoiVTM!$J:$J,MATCH(B45,KhoiVTM!$C:$C,0)),"@"))),FALSE())*1)+(IFERROR(OR(AND(OR(E45="—",E45=""),OR(TEXT(INDEX(KhoiVTM!$M:$M,MATCH(B45,KhoiVTM!$C:$C,0)),"@")="",TEXT(INDEX(KhoiVTM!$M:$M,MATCH(B45,KhoiVTM!$C:$C,0)),"@")="—")),EXACT(TEXT(E45,"@"),TEXT(INDEX(KhoiVTM!$M:$M,MATCH(B45,KhoiVTM!$C:$C,0)),"@"))),FALSE())*1)=4,"Match",IF((EXACT(C45,IFERROR(INDEX(KhoiVTM!$D:$D,MATCH(B45,KhoiVTM!$C:$C,0)),"__NA__"))*1)+(IFERROR(F45=INDEX(KhoiVTM!$F:$F,MATCH(B45,KhoiVTM!$C:$C,0)),FALSE())*1)+(IFERROR(OR(AND(OR(D45="—",D45=""),OR(TEXT(INDEX(KhoiVTM!$J:$J,MATCH(B45,KhoiVTM!$C:$C,0)),"@")="",TEXT(INDEX(KhoiVTM!$J:$J,MATCH(B45,KhoiVTM!$C:$C,0)),"@")="—")),EXACT(TEXT(D45,"@"),TEXT(INDEX(KhoiVTM!$J:$J,MATCH(B45,KhoiVTM!$C:$C,0)),"@"))),FALSE())*1)+(IFERROR(OR(AND(OR(E45="—",E45=""),OR(TEXT(INDEX(KhoiVTM!$M:$M,MATCH(B45,KhoiVTM!$C:$C,0)),"@")="",TEXT(INDEX(KhoiVTM!$M:$M,MATCH(B45,KhoiVTM!$C:$C,0)),"@")="—")),EXACT(TEXT(E45,"@"),TEXT(INDEX(KhoiVTM!$M:$M,MATCH(B45,KhoiVTM!$C:$C,0)),"@"))),FALSE())*1)&gt;=3,"Partial","Mismatch"))),"Not Found")</f>
        <v>Mismatch</v>
      </c>
    </row>
    <row r="46" spans="1:14" x14ac:dyDescent="0.25">
      <c r="A46" s="114">
        <f>KhoiVTM!A46</f>
        <v>45</v>
      </c>
      <c r="B46" s="114" t="str">
        <f>KhoiVTM!C46</f>
        <v>CPF0603B604KE1</v>
      </c>
      <c r="C46" s="114" t="str">
        <f>KhoiVTM!D46</f>
        <v>RES 604 KOHM 0.1% 1/16W 0603</v>
      </c>
      <c r="D46" s="113">
        <v>604</v>
      </c>
      <c r="E46" s="113" t="str">
        <f t="shared" ref="E46:E54" si="5">RIGHT(TRIM(C46), 4)</f>
        <v>0603</v>
      </c>
      <c r="F46" s="114">
        <f>KhoiVTM!F46</f>
        <v>30</v>
      </c>
      <c r="G46" s="114">
        <v>0</v>
      </c>
      <c r="H46" s="114">
        <v>0</v>
      </c>
      <c r="I46" s="114">
        <f t="shared" si="3"/>
        <v>30</v>
      </c>
      <c r="J46" s="58" t="str">
        <f t="shared" si="4"/>
        <v>Resistor</v>
      </c>
      <c r="K46" s="62" t="s">
        <v>25</v>
      </c>
      <c r="L46" s="114" t="s">
        <v>515</v>
      </c>
      <c r="M46" s="56"/>
      <c r="N46" s="57" t="str">
        <f>IFERROR(IF(ISERROR(MATCH(B46,KhoiVTM!$C:$C,0)),"Not Found",IF((EXACT(C46,IFERROR(INDEX(KhoiVTM!$D:$D,MATCH(B46,KhoiVTM!$C:$C,0)),"__NA__"))*1)+(IFERROR(F46=INDEX(KhoiVTM!$F:$F,MATCH(B46,KhoiVTM!$C:$C,0)),FALSE())*1)+(IFERROR(OR(AND(OR(D46="—",D46=""),OR(TEXT(INDEX(KhoiVTM!$J:$J,MATCH(B46,KhoiVTM!$C:$C,0)),"@")="",TEXT(INDEX(KhoiVTM!$J:$J,MATCH(B46,KhoiVTM!$C:$C,0)),"@")="—")),EXACT(TEXT(D46,"@"),TEXT(INDEX(KhoiVTM!$J:$J,MATCH(B46,KhoiVTM!$C:$C,0)),"@"))),FALSE())*1)+(IFERROR(OR(AND(OR(E46="—",E46=""),OR(TEXT(INDEX(KhoiVTM!$M:$M,MATCH(B46,KhoiVTM!$C:$C,0)),"@")="",TEXT(INDEX(KhoiVTM!$M:$M,MATCH(B46,KhoiVTM!$C:$C,0)),"@")="—")),EXACT(TEXT(E46,"@"),TEXT(INDEX(KhoiVTM!$M:$M,MATCH(B46,KhoiVTM!$C:$C,0)),"@"))),FALSE())*1)=4,"Match",IF((EXACT(C46,IFERROR(INDEX(KhoiVTM!$D:$D,MATCH(B46,KhoiVTM!$C:$C,0)),"__NA__"))*1)+(IFERROR(F46=INDEX(KhoiVTM!$F:$F,MATCH(B46,KhoiVTM!$C:$C,0)),FALSE())*1)+(IFERROR(OR(AND(OR(D46="—",D46=""),OR(TEXT(INDEX(KhoiVTM!$J:$J,MATCH(B46,KhoiVTM!$C:$C,0)),"@")="",TEXT(INDEX(KhoiVTM!$J:$J,MATCH(B46,KhoiVTM!$C:$C,0)),"@")="—")),EXACT(TEXT(D46,"@"),TEXT(INDEX(KhoiVTM!$J:$J,MATCH(B46,KhoiVTM!$C:$C,0)),"@"))),FALSE())*1)+(IFERROR(OR(AND(OR(E46="—",E46=""),OR(TEXT(INDEX(KhoiVTM!$M:$M,MATCH(B46,KhoiVTM!$C:$C,0)),"@")="",TEXT(INDEX(KhoiVTM!$M:$M,MATCH(B46,KhoiVTM!$C:$C,0)),"@")="—")),EXACT(TEXT(E46,"@"),TEXT(INDEX(KhoiVTM!$M:$M,MATCH(B46,KhoiVTM!$C:$C,0)),"@"))),FALSE())*1)&gt;=3,"Partial","Mismatch"))),"Not Found")</f>
        <v>Match</v>
      </c>
    </row>
    <row r="47" spans="1:14" x14ac:dyDescent="0.25">
      <c r="A47" s="114">
        <f>KhoiVTM!A47</f>
        <v>46</v>
      </c>
      <c r="B47" s="114" t="str">
        <f>KhoiVTM!C47</f>
        <v>RC0603FR-07100KL</v>
      </c>
      <c r="C47" s="114" t="str">
        <f>KhoiVTM!D47</f>
        <v>RES 100K OHM 1% 1/10W 0603</v>
      </c>
      <c r="D47" s="113" t="s">
        <v>534</v>
      </c>
      <c r="E47" s="113" t="str">
        <f t="shared" si="5"/>
        <v>0603</v>
      </c>
      <c r="F47" s="114">
        <f>KhoiVTM!F47</f>
        <v>30</v>
      </c>
      <c r="G47" s="114">
        <v>0</v>
      </c>
      <c r="H47" s="114">
        <v>0</v>
      </c>
      <c r="I47" s="114">
        <f t="shared" si="3"/>
        <v>30</v>
      </c>
      <c r="J47" s="58" t="str">
        <f t="shared" si="4"/>
        <v>Resistor</v>
      </c>
      <c r="K47" s="62" t="s">
        <v>25</v>
      </c>
      <c r="L47" s="114" t="s">
        <v>515</v>
      </c>
      <c r="M47" s="56"/>
      <c r="N47" s="57" t="str">
        <f>IFERROR(IF(ISERROR(MATCH(B47,KhoiVTM!$C:$C,0)),"Not Found",IF((EXACT(C47,IFERROR(INDEX(KhoiVTM!$D:$D,MATCH(B47,KhoiVTM!$C:$C,0)),"__NA__"))*1)+(IFERROR(F47=INDEX(KhoiVTM!$F:$F,MATCH(B47,KhoiVTM!$C:$C,0)),FALSE())*1)+(IFERROR(OR(AND(OR(D47="—",D47=""),OR(TEXT(INDEX(KhoiVTM!$J:$J,MATCH(B47,KhoiVTM!$C:$C,0)),"@")="",TEXT(INDEX(KhoiVTM!$J:$J,MATCH(B47,KhoiVTM!$C:$C,0)),"@")="—")),EXACT(TEXT(D47,"@"),TEXT(INDEX(KhoiVTM!$J:$J,MATCH(B47,KhoiVTM!$C:$C,0)),"@"))),FALSE())*1)+(IFERROR(OR(AND(OR(E47="—",E47=""),OR(TEXT(INDEX(KhoiVTM!$M:$M,MATCH(B47,KhoiVTM!$C:$C,0)),"@")="",TEXT(INDEX(KhoiVTM!$M:$M,MATCH(B47,KhoiVTM!$C:$C,0)),"@")="—")),EXACT(TEXT(E47,"@"),TEXT(INDEX(KhoiVTM!$M:$M,MATCH(B47,KhoiVTM!$C:$C,0)),"@"))),FALSE())*1)=4,"Match",IF((EXACT(C47,IFERROR(INDEX(KhoiVTM!$D:$D,MATCH(B47,KhoiVTM!$C:$C,0)),"__NA__"))*1)+(IFERROR(F47=INDEX(KhoiVTM!$F:$F,MATCH(B47,KhoiVTM!$C:$C,0)),FALSE())*1)+(IFERROR(OR(AND(OR(D47="—",D47=""),OR(TEXT(INDEX(KhoiVTM!$J:$J,MATCH(B47,KhoiVTM!$C:$C,0)),"@")="",TEXT(INDEX(KhoiVTM!$J:$J,MATCH(B47,KhoiVTM!$C:$C,0)),"@")="—")),EXACT(TEXT(D47,"@"),TEXT(INDEX(KhoiVTM!$J:$J,MATCH(B47,KhoiVTM!$C:$C,0)),"@"))),FALSE())*1)+(IFERROR(OR(AND(OR(E47="—",E47=""),OR(TEXT(INDEX(KhoiVTM!$M:$M,MATCH(B47,KhoiVTM!$C:$C,0)),"@")="",TEXT(INDEX(KhoiVTM!$M:$M,MATCH(B47,KhoiVTM!$C:$C,0)),"@")="—")),EXACT(TEXT(E47,"@"),TEXT(INDEX(KhoiVTM!$M:$M,MATCH(B47,KhoiVTM!$C:$C,0)),"@"))),FALSE())*1)&gt;=3,"Partial","Mismatch"))),"Not Found")</f>
        <v>Match</v>
      </c>
    </row>
    <row r="48" spans="1:14" x14ac:dyDescent="0.25">
      <c r="A48" s="114">
        <f>KhoiVTM!A48</f>
        <v>47</v>
      </c>
      <c r="B48" s="114" t="str">
        <f>KhoiVTM!C48</f>
        <v>RC0603FR-07649KL</v>
      </c>
      <c r="C48" s="114" t="str">
        <f>KhoiVTM!D48</f>
        <v>RES 649K OHM 1% 1/10W 0603</v>
      </c>
      <c r="D48" s="113" t="s">
        <v>535</v>
      </c>
      <c r="E48" s="113" t="str">
        <f t="shared" si="5"/>
        <v>0603</v>
      </c>
      <c r="F48" s="114">
        <f>KhoiVTM!F48</f>
        <v>30</v>
      </c>
      <c r="G48" s="114">
        <v>0</v>
      </c>
      <c r="H48" s="114">
        <v>0</v>
      </c>
      <c r="I48" s="114">
        <f t="shared" si="3"/>
        <v>30</v>
      </c>
      <c r="J48" s="58" t="str">
        <f t="shared" si="4"/>
        <v>Resistor</v>
      </c>
      <c r="K48" s="62" t="s">
        <v>25</v>
      </c>
      <c r="L48" s="114" t="s">
        <v>515</v>
      </c>
      <c r="M48" s="56"/>
      <c r="N48" s="57" t="str">
        <f>IFERROR(IF(ISERROR(MATCH(B48,KhoiVTM!$C:$C,0)),"Not Found",IF((EXACT(C48,IFERROR(INDEX(KhoiVTM!$D:$D,MATCH(B48,KhoiVTM!$C:$C,0)),"__NA__"))*1)+(IFERROR(F48=INDEX(KhoiVTM!$F:$F,MATCH(B48,KhoiVTM!$C:$C,0)),FALSE())*1)+(IFERROR(OR(AND(OR(D48="—",D48=""),OR(TEXT(INDEX(KhoiVTM!$J:$J,MATCH(B48,KhoiVTM!$C:$C,0)),"@")="",TEXT(INDEX(KhoiVTM!$J:$J,MATCH(B48,KhoiVTM!$C:$C,0)),"@")="—")),EXACT(TEXT(D48,"@"),TEXT(INDEX(KhoiVTM!$J:$J,MATCH(B48,KhoiVTM!$C:$C,0)),"@"))),FALSE())*1)+(IFERROR(OR(AND(OR(E48="—",E48=""),OR(TEXT(INDEX(KhoiVTM!$M:$M,MATCH(B48,KhoiVTM!$C:$C,0)),"@")="",TEXT(INDEX(KhoiVTM!$M:$M,MATCH(B48,KhoiVTM!$C:$C,0)),"@")="—")),EXACT(TEXT(E48,"@"),TEXT(INDEX(KhoiVTM!$M:$M,MATCH(B48,KhoiVTM!$C:$C,0)),"@"))),FALSE())*1)=4,"Match",IF((EXACT(C48,IFERROR(INDEX(KhoiVTM!$D:$D,MATCH(B48,KhoiVTM!$C:$C,0)),"__NA__"))*1)+(IFERROR(F48=INDEX(KhoiVTM!$F:$F,MATCH(B48,KhoiVTM!$C:$C,0)),FALSE())*1)+(IFERROR(OR(AND(OR(D48="—",D48=""),OR(TEXT(INDEX(KhoiVTM!$J:$J,MATCH(B48,KhoiVTM!$C:$C,0)),"@")="",TEXT(INDEX(KhoiVTM!$J:$J,MATCH(B48,KhoiVTM!$C:$C,0)),"@")="—")),EXACT(TEXT(D48,"@"),TEXT(INDEX(KhoiVTM!$J:$J,MATCH(B48,KhoiVTM!$C:$C,0)),"@"))),FALSE())*1)+(IFERROR(OR(AND(OR(E48="—",E48=""),OR(TEXT(INDEX(KhoiVTM!$M:$M,MATCH(B48,KhoiVTM!$C:$C,0)),"@")="",TEXT(INDEX(KhoiVTM!$M:$M,MATCH(B48,KhoiVTM!$C:$C,0)),"@")="—")),EXACT(TEXT(E48,"@"),TEXT(INDEX(KhoiVTM!$M:$M,MATCH(B48,KhoiVTM!$C:$C,0)),"@"))),FALSE())*1)&gt;=3,"Partial","Mismatch"))),"Not Found")</f>
        <v>Match</v>
      </c>
    </row>
    <row r="49" spans="1:14" x14ac:dyDescent="0.25">
      <c r="A49" s="114">
        <f>KhoiVTM!A49</f>
        <v>48</v>
      </c>
      <c r="B49" s="114" t="str">
        <f>KhoiVTM!C49</f>
        <v>GRM21BR61C106KE15L</v>
      </c>
      <c r="C49" s="114" t="str">
        <f>KhoiVTM!D49</f>
        <v>CAP CER 10UF 16V X5R 0805</v>
      </c>
      <c r="D49" s="113" t="s">
        <v>536</v>
      </c>
      <c r="E49" s="113" t="str">
        <f t="shared" si="5"/>
        <v>0805</v>
      </c>
      <c r="F49" s="114">
        <f>KhoiVTM!F49</f>
        <v>30</v>
      </c>
      <c r="G49" s="114">
        <v>19</v>
      </c>
      <c r="H49" s="114">
        <v>0</v>
      </c>
      <c r="I49" s="114">
        <f t="shared" si="3"/>
        <v>30</v>
      </c>
      <c r="J49" s="58" t="str">
        <f t="shared" si="4"/>
        <v>Capacitor</v>
      </c>
      <c r="K49" s="62" t="s">
        <v>25</v>
      </c>
      <c r="L49" s="114" t="s">
        <v>515</v>
      </c>
      <c r="M49" s="56"/>
      <c r="N49" s="57" t="str">
        <f>IFERROR(IF(ISERROR(MATCH(B49,KhoiVTM!$C:$C,0)),"Not Found",IF((EXACT(C49,IFERROR(INDEX(KhoiVTM!$D:$D,MATCH(B49,KhoiVTM!$C:$C,0)),"__NA__"))*1)+(IFERROR(F49=INDEX(KhoiVTM!$F:$F,MATCH(B49,KhoiVTM!$C:$C,0)),FALSE())*1)+(IFERROR(OR(AND(OR(D49="—",D49=""),OR(TEXT(INDEX(KhoiVTM!$J:$J,MATCH(B49,KhoiVTM!$C:$C,0)),"@")="",TEXT(INDEX(KhoiVTM!$J:$J,MATCH(B49,KhoiVTM!$C:$C,0)),"@")="—")),EXACT(TEXT(D49,"@"),TEXT(INDEX(KhoiVTM!$J:$J,MATCH(B49,KhoiVTM!$C:$C,0)),"@"))),FALSE())*1)+(IFERROR(OR(AND(OR(E49="—",E49=""),OR(TEXT(INDEX(KhoiVTM!$M:$M,MATCH(B49,KhoiVTM!$C:$C,0)),"@")="",TEXT(INDEX(KhoiVTM!$M:$M,MATCH(B49,KhoiVTM!$C:$C,0)),"@")="—")),EXACT(TEXT(E49,"@"),TEXT(INDEX(KhoiVTM!$M:$M,MATCH(B49,KhoiVTM!$C:$C,0)),"@"))),FALSE())*1)=4,"Match",IF((EXACT(C49,IFERROR(INDEX(KhoiVTM!$D:$D,MATCH(B49,KhoiVTM!$C:$C,0)),"__NA__"))*1)+(IFERROR(F49=INDEX(KhoiVTM!$F:$F,MATCH(B49,KhoiVTM!$C:$C,0)),FALSE())*1)+(IFERROR(OR(AND(OR(D49="—",D49=""),OR(TEXT(INDEX(KhoiVTM!$J:$J,MATCH(B49,KhoiVTM!$C:$C,0)),"@")="",TEXT(INDEX(KhoiVTM!$J:$J,MATCH(B49,KhoiVTM!$C:$C,0)),"@")="—")),EXACT(TEXT(D49,"@"),TEXT(INDEX(KhoiVTM!$J:$J,MATCH(B49,KhoiVTM!$C:$C,0)),"@"))),FALSE())*1)+(IFERROR(OR(AND(OR(E49="—",E49=""),OR(TEXT(INDEX(KhoiVTM!$M:$M,MATCH(B49,KhoiVTM!$C:$C,0)),"@")="",TEXT(INDEX(KhoiVTM!$M:$M,MATCH(B49,KhoiVTM!$C:$C,0)),"@")="—")),EXACT(TEXT(E49,"@"),TEXT(INDEX(KhoiVTM!$M:$M,MATCH(B49,KhoiVTM!$C:$C,0)),"@"))),FALSE())*1)&gt;=3,"Partial","Mismatch"))),"Not Found")</f>
        <v>Match</v>
      </c>
    </row>
    <row r="50" spans="1:14" x14ac:dyDescent="0.25">
      <c r="A50" s="114">
        <f>KhoiVTM!A50</f>
        <v>49</v>
      </c>
      <c r="B50" s="114" t="str">
        <f>KhoiVTM!C50</f>
        <v>RC0603FR-0712KL</v>
      </c>
      <c r="C50" s="114" t="str">
        <f>KhoiVTM!D50</f>
        <v>RES 12K OHM 1% 1/10W 0603</v>
      </c>
      <c r="D50" s="113" t="s">
        <v>537</v>
      </c>
      <c r="E50" s="113" t="str">
        <f t="shared" si="5"/>
        <v>0603</v>
      </c>
      <c r="F50" s="114">
        <f>KhoiVTM!F50</f>
        <v>30</v>
      </c>
      <c r="G50" s="114">
        <v>0</v>
      </c>
      <c r="H50" s="114">
        <v>0</v>
      </c>
      <c r="I50" s="114">
        <f t="shared" si="3"/>
        <v>30</v>
      </c>
      <c r="J50" s="58" t="str">
        <f t="shared" si="4"/>
        <v>Resistor</v>
      </c>
      <c r="K50" s="62" t="s">
        <v>25</v>
      </c>
      <c r="L50" s="114" t="s">
        <v>515</v>
      </c>
      <c r="M50" s="56"/>
      <c r="N50" s="57" t="str">
        <f>IFERROR(IF(ISERROR(MATCH(B50,KhoiVTM!$C:$C,0)),"Not Found",IF((EXACT(C50,IFERROR(INDEX(KhoiVTM!$D:$D,MATCH(B50,KhoiVTM!$C:$C,0)),"__NA__"))*1)+(IFERROR(F50=INDEX(KhoiVTM!$F:$F,MATCH(B50,KhoiVTM!$C:$C,0)),FALSE())*1)+(IFERROR(OR(AND(OR(D50="—",D50=""),OR(TEXT(INDEX(KhoiVTM!$J:$J,MATCH(B50,KhoiVTM!$C:$C,0)),"@")="",TEXT(INDEX(KhoiVTM!$J:$J,MATCH(B50,KhoiVTM!$C:$C,0)),"@")="—")),EXACT(TEXT(D50,"@"),TEXT(INDEX(KhoiVTM!$J:$J,MATCH(B50,KhoiVTM!$C:$C,0)),"@"))),FALSE())*1)+(IFERROR(OR(AND(OR(E50="—",E50=""),OR(TEXT(INDEX(KhoiVTM!$M:$M,MATCH(B50,KhoiVTM!$C:$C,0)),"@")="",TEXT(INDEX(KhoiVTM!$M:$M,MATCH(B50,KhoiVTM!$C:$C,0)),"@")="—")),EXACT(TEXT(E50,"@"),TEXT(INDEX(KhoiVTM!$M:$M,MATCH(B50,KhoiVTM!$C:$C,0)),"@"))),FALSE())*1)=4,"Match",IF((EXACT(C50,IFERROR(INDEX(KhoiVTM!$D:$D,MATCH(B50,KhoiVTM!$C:$C,0)),"__NA__"))*1)+(IFERROR(F50=INDEX(KhoiVTM!$F:$F,MATCH(B50,KhoiVTM!$C:$C,0)),FALSE())*1)+(IFERROR(OR(AND(OR(D50="—",D50=""),OR(TEXT(INDEX(KhoiVTM!$J:$J,MATCH(B50,KhoiVTM!$C:$C,0)),"@")="",TEXT(INDEX(KhoiVTM!$J:$J,MATCH(B50,KhoiVTM!$C:$C,0)),"@")="—")),EXACT(TEXT(D50,"@"),TEXT(INDEX(KhoiVTM!$J:$J,MATCH(B50,KhoiVTM!$C:$C,0)),"@"))),FALSE())*1)+(IFERROR(OR(AND(OR(E50="—",E50=""),OR(TEXT(INDEX(KhoiVTM!$M:$M,MATCH(B50,KhoiVTM!$C:$C,0)),"@")="",TEXT(INDEX(KhoiVTM!$M:$M,MATCH(B50,KhoiVTM!$C:$C,0)),"@")="—")),EXACT(TEXT(E50,"@"),TEXT(INDEX(KhoiVTM!$M:$M,MATCH(B50,KhoiVTM!$C:$C,0)),"@"))),FALSE())*1)&gt;=3,"Partial","Mismatch"))),"Not Found")</f>
        <v>Match</v>
      </c>
    </row>
    <row r="51" spans="1:14" x14ac:dyDescent="0.25">
      <c r="A51" s="114">
        <f>KhoiVTM!A51</f>
        <v>50</v>
      </c>
      <c r="B51" s="114" t="str">
        <f>KhoiVTM!C51</f>
        <v>GCJ188R71H473KA12D</v>
      </c>
      <c r="C51" s="114" t="str">
        <f>KhoiVTM!D51</f>
        <v>CAP CER 0.047UF 50V X7R 0603</v>
      </c>
      <c r="D51" s="113" t="s">
        <v>538</v>
      </c>
      <c r="E51" s="113" t="str">
        <f t="shared" si="5"/>
        <v>0603</v>
      </c>
      <c r="F51" s="114">
        <f>KhoiVTM!F51</f>
        <v>30</v>
      </c>
      <c r="G51" s="114">
        <v>0</v>
      </c>
      <c r="H51" s="114">
        <v>0</v>
      </c>
      <c r="I51" s="114">
        <f t="shared" si="3"/>
        <v>30</v>
      </c>
      <c r="J51" s="58" t="str">
        <f t="shared" si="4"/>
        <v>Capacitor</v>
      </c>
      <c r="K51" s="62" t="s">
        <v>25</v>
      </c>
      <c r="L51" s="114" t="s">
        <v>515</v>
      </c>
      <c r="M51" s="56"/>
      <c r="N51" s="57" t="str">
        <f>IFERROR(IF(ISERROR(MATCH(B51,KhoiVTM!$C:$C,0)),"Not Found",IF((EXACT(C51,IFERROR(INDEX(KhoiVTM!$D:$D,MATCH(B51,KhoiVTM!$C:$C,0)),"__NA__"))*1)+(IFERROR(F51=INDEX(KhoiVTM!$F:$F,MATCH(B51,KhoiVTM!$C:$C,0)),FALSE())*1)+(IFERROR(OR(AND(OR(D51="—",D51=""),OR(TEXT(INDEX(KhoiVTM!$J:$J,MATCH(B51,KhoiVTM!$C:$C,0)),"@")="",TEXT(INDEX(KhoiVTM!$J:$J,MATCH(B51,KhoiVTM!$C:$C,0)),"@")="—")),EXACT(TEXT(D51,"@"),TEXT(INDEX(KhoiVTM!$J:$J,MATCH(B51,KhoiVTM!$C:$C,0)),"@"))),FALSE())*1)+(IFERROR(OR(AND(OR(E51="—",E51=""),OR(TEXT(INDEX(KhoiVTM!$M:$M,MATCH(B51,KhoiVTM!$C:$C,0)),"@")="",TEXT(INDEX(KhoiVTM!$M:$M,MATCH(B51,KhoiVTM!$C:$C,0)),"@")="—")),EXACT(TEXT(E51,"@"),TEXT(INDEX(KhoiVTM!$M:$M,MATCH(B51,KhoiVTM!$C:$C,0)),"@"))),FALSE())*1)=4,"Match",IF((EXACT(C51,IFERROR(INDEX(KhoiVTM!$D:$D,MATCH(B51,KhoiVTM!$C:$C,0)),"__NA__"))*1)+(IFERROR(F51=INDEX(KhoiVTM!$F:$F,MATCH(B51,KhoiVTM!$C:$C,0)),FALSE())*1)+(IFERROR(OR(AND(OR(D51="—",D51=""),OR(TEXT(INDEX(KhoiVTM!$J:$J,MATCH(B51,KhoiVTM!$C:$C,0)),"@")="",TEXT(INDEX(KhoiVTM!$J:$J,MATCH(B51,KhoiVTM!$C:$C,0)),"@")="—")),EXACT(TEXT(D51,"@"),TEXT(INDEX(KhoiVTM!$J:$J,MATCH(B51,KhoiVTM!$C:$C,0)),"@"))),FALSE())*1)+(IFERROR(OR(AND(OR(E51="—",E51=""),OR(TEXT(INDEX(KhoiVTM!$M:$M,MATCH(B51,KhoiVTM!$C:$C,0)),"@")="",TEXT(INDEX(KhoiVTM!$M:$M,MATCH(B51,KhoiVTM!$C:$C,0)),"@")="—")),EXACT(TEXT(E51,"@"),TEXT(INDEX(KhoiVTM!$M:$M,MATCH(B51,KhoiVTM!$C:$C,0)),"@"))),FALSE())*1)&gt;=3,"Partial","Mismatch"))),"Not Found")</f>
        <v>Match</v>
      </c>
    </row>
    <row r="52" spans="1:14" x14ac:dyDescent="0.25">
      <c r="A52" s="114">
        <f>KhoiVTM!A52</f>
        <v>51</v>
      </c>
      <c r="B52" s="114" t="str">
        <f>KhoiVTM!C52</f>
        <v>RC0603FR-0715KL</v>
      </c>
      <c r="C52" s="114" t="str">
        <f>KhoiVTM!D52</f>
        <v>RES 15K OHM 1% 1/10W 0603</v>
      </c>
      <c r="D52" s="113" t="s">
        <v>539</v>
      </c>
      <c r="E52" s="113" t="str">
        <f t="shared" si="5"/>
        <v>0603</v>
      </c>
      <c r="F52" s="114">
        <f>KhoiVTM!F52</f>
        <v>30</v>
      </c>
      <c r="G52" s="114">
        <v>0</v>
      </c>
      <c r="H52" s="114">
        <v>0</v>
      </c>
      <c r="I52" s="114">
        <f t="shared" si="3"/>
        <v>30</v>
      </c>
      <c r="J52" s="58" t="str">
        <f t="shared" si="4"/>
        <v>Resistor</v>
      </c>
      <c r="K52" s="62" t="s">
        <v>25</v>
      </c>
      <c r="L52" s="114" t="s">
        <v>515</v>
      </c>
      <c r="M52" s="56"/>
      <c r="N52" s="57" t="str">
        <f>IFERROR(IF(ISERROR(MATCH(B52,KhoiVTM!$C:$C,0)),"Not Found",IF((EXACT(C52,IFERROR(INDEX(KhoiVTM!$D:$D,MATCH(B52,KhoiVTM!$C:$C,0)),"__NA__"))*1)+(IFERROR(F52=INDEX(KhoiVTM!$F:$F,MATCH(B52,KhoiVTM!$C:$C,0)),FALSE())*1)+(IFERROR(OR(AND(OR(D52="—",D52=""),OR(TEXT(INDEX(KhoiVTM!$J:$J,MATCH(B52,KhoiVTM!$C:$C,0)),"@")="",TEXT(INDEX(KhoiVTM!$J:$J,MATCH(B52,KhoiVTM!$C:$C,0)),"@")="—")),EXACT(TEXT(D52,"@"),TEXT(INDEX(KhoiVTM!$J:$J,MATCH(B52,KhoiVTM!$C:$C,0)),"@"))),FALSE())*1)+(IFERROR(OR(AND(OR(E52="—",E52=""),OR(TEXT(INDEX(KhoiVTM!$M:$M,MATCH(B52,KhoiVTM!$C:$C,0)),"@")="",TEXT(INDEX(KhoiVTM!$M:$M,MATCH(B52,KhoiVTM!$C:$C,0)),"@")="—")),EXACT(TEXT(E52,"@"),TEXT(INDEX(KhoiVTM!$M:$M,MATCH(B52,KhoiVTM!$C:$C,0)),"@"))),FALSE())*1)=4,"Match",IF((EXACT(C52,IFERROR(INDEX(KhoiVTM!$D:$D,MATCH(B52,KhoiVTM!$C:$C,0)),"__NA__"))*1)+(IFERROR(F52=INDEX(KhoiVTM!$F:$F,MATCH(B52,KhoiVTM!$C:$C,0)),FALSE())*1)+(IFERROR(OR(AND(OR(D52="—",D52=""),OR(TEXT(INDEX(KhoiVTM!$J:$J,MATCH(B52,KhoiVTM!$C:$C,0)),"@")="",TEXT(INDEX(KhoiVTM!$J:$J,MATCH(B52,KhoiVTM!$C:$C,0)),"@")="—")),EXACT(TEXT(D52,"@"),TEXT(INDEX(KhoiVTM!$J:$J,MATCH(B52,KhoiVTM!$C:$C,0)),"@"))),FALSE())*1)+(IFERROR(OR(AND(OR(E52="—",E52=""),OR(TEXT(INDEX(KhoiVTM!$M:$M,MATCH(B52,KhoiVTM!$C:$C,0)),"@")="",TEXT(INDEX(KhoiVTM!$M:$M,MATCH(B52,KhoiVTM!$C:$C,0)),"@")="—")),EXACT(TEXT(E52,"@"),TEXT(INDEX(KhoiVTM!$M:$M,MATCH(B52,KhoiVTM!$C:$C,0)),"@"))),FALSE())*1)&gt;=3,"Partial","Mismatch"))),"Not Found")</f>
        <v>Match</v>
      </c>
    </row>
    <row r="53" spans="1:14" x14ac:dyDescent="0.25">
      <c r="A53" s="114">
        <f>KhoiVTM!A53</f>
        <v>52</v>
      </c>
      <c r="B53" s="114" t="str">
        <f>KhoiVTM!C53</f>
        <v>GCJ188R71H683KA12D</v>
      </c>
      <c r="C53" s="114" t="str">
        <f>KhoiVTM!D53</f>
        <v>CAP CER 0.068UF 50V X7R 0603</v>
      </c>
      <c r="D53" s="113" t="s">
        <v>540</v>
      </c>
      <c r="E53" s="113" t="str">
        <f t="shared" si="5"/>
        <v>0603</v>
      </c>
      <c r="F53" s="114">
        <f>KhoiVTM!F53</f>
        <v>30</v>
      </c>
      <c r="G53" s="114">
        <v>0</v>
      </c>
      <c r="H53" s="114">
        <v>0</v>
      </c>
      <c r="I53" s="114">
        <f t="shared" si="3"/>
        <v>30</v>
      </c>
      <c r="J53" s="58" t="str">
        <f t="shared" si="4"/>
        <v>Capacitor</v>
      </c>
      <c r="K53" s="62" t="s">
        <v>25</v>
      </c>
      <c r="L53" s="114" t="s">
        <v>515</v>
      </c>
      <c r="M53" s="56"/>
      <c r="N53" s="57" t="str">
        <f>IFERROR(IF(ISERROR(MATCH(B53,KhoiVTM!$C:$C,0)),"Not Found",IF((EXACT(C53,IFERROR(INDEX(KhoiVTM!$D:$D,MATCH(B53,KhoiVTM!$C:$C,0)),"__NA__"))*1)+(IFERROR(F53=INDEX(KhoiVTM!$F:$F,MATCH(B53,KhoiVTM!$C:$C,0)),FALSE())*1)+(IFERROR(OR(AND(OR(D53="—",D53=""),OR(TEXT(INDEX(KhoiVTM!$J:$J,MATCH(B53,KhoiVTM!$C:$C,0)),"@")="",TEXT(INDEX(KhoiVTM!$J:$J,MATCH(B53,KhoiVTM!$C:$C,0)),"@")="—")),EXACT(TEXT(D53,"@"),TEXT(INDEX(KhoiVTM!$J:$J,MATCH(B53,KhoiVTM!$C:$C,0)),"@"))),FALSE())*1)+(IFERROR(OR(AND(OR(E53="—",E53=""),OR(TEXT(INDEX(KhoiVTM!$M:$M,MATCH(B53,KhoiVTM!$C:$C,0)),"@")="",TEXT(INDEX(KhoiVTM!$M:$M,MATCH(B53,KhoiVTM!$C:$C,0)),"@")="—")),EXACT(TEXT(E53,"@"),TEXT(INDEX(KhoiVTM!$M:$M,MATCH(B53,KhoiVTM!$C:$C,0)),"@"))),FALSE())*1)=4,"Match",IF((EXACT(C53,IFERROR(INDEX(KhoiVTM!$D:$D,MATCH(B53,KhoiVTM!$C:$C,0)),"__NA__"))*1)+(IFERROR(F53=INDEX(KhoiVTM!$F:$F,MATCH(B53,KhoiVTM!$C:$C,0)),FALSE())*1)+(IFERROR(OR(AND(OR(D53="—",D53=""),OR(TEXT(INDEX(KhoiVTM!$J:$J,MATCH(B53,KhoiVTM!$C:$C,0)),"@")="",TEXT(INDEX(KhoiVTM!$J:$J,MATCH(B53,KhoiVTM!$C:$C,0)),"@")="—")),EXACT(TEXT(D53,"@"),TEXT(INDEX(KhoiVTM!$J:$J,MATCH(B53,KhoiVTM!$C:$C,0)),"@"))),FALSE())*1)+(IFERROR(OR(AND(OR(E53="—",E53=""),OR(TEXT(INDEX(KhoiVTM!$M:$M,MATCH(B53,KhoiVTM!$C:$C,0)),"@")="",TEXT(INDEX(KhoiVTM!$M:$M,MATCH(B53,KhoiVTM!$C:$C,0)),"@")="—")),EXACT(TEXT(E53,"@"),TEXT(INDEX(KhoiVTM!$M:$M,MATCH(B53,KhoiVTM!$C:$C,0)),"@"))),FALSE())*1)&gt;=3,"Partial","Mismatch"))),"Not Found")</f>
        <v>Match</v>
      </c>
    </row>
    <row r="54" spans="1:14" x14ac:dyDescent="0.25">
      <c r="A54" s="114">
        <f>KhoiVTM!A54</f>
        <v>53</v>
      </c>
      <c r="B54" s="114" t="str">
        <f>KhoiVTM!C54</f>
        <v>GRM1885C1H101JA01D</v>
      </c>
      <c r="C54" s="114" t="str">
        <f>KhoiVTM!D54</f>
        <v>CAP CER 100PF 50V C0G/NP0 0603</v>
      </c>
      <c r="D54" s="113" t="s">
        <v>541</v>
      </c>
      <c r="E54" s="113" t="str">
        <f t="shared" si="5"/>
        <v>0603</v>
      </c>
      <c r="F54" s="114">
        <f>KhoiVTM!F54</f>
        <v>30</v>
      </c>
      <c r="G54" s="114">
        <v>1</v>
      </c>
      <c r="H54" s="114">
        <v>0</v>
      </c>
      <c r="I54" s="114">
        <f t="shared" si="3"/>
        <v>30</v>
      </c>
      <c r="J54" s="58" t="str">
        <f t="shared" si="4"/>
        <v>Capacitor</v>
      </c>
      <c r="K54" s="62" t="s">
        <v>25</v>
      </c>
      <c r="L54" s="114" t="s">
        <v>515</v>
      </c>
      <c r="M54" s="56"/>
      <c r="N54" s="57" t="str">
        <f>IFERROR(IF(ISERROR(MATCH(B54,KhoiVTM!$C:$C,0)),"Not Found",IF((EXACT(C54,IFERROR(INDEX(KhoiVTM!$D:$D,MATCH(B54,KhoiVTM!$C:$C,0)),"__NA__"))*1)+(IFERROR(F54=INDEX(KhoiVTM!$F:$F,MATCH(B54,KhoiVTM!$C:$C,0)),FALSE())*1)+(IFERROR(OR(AND(OR(D54="—",D54=""),OR(TEXT(INDEX(KhoiVTM!$J:$J,MATCH(B54,KhoiVTM!$C:$C,0)),"@")="",TEXT(INDEX(KhoiVTM!$J:$J,MATCH(B54,KhoiVTM!$C:$C,0)),"@")="—")),EXACT(TEXT(D54,"@"),TEXT(INDEX(KhoiVTM!$J:$J,MATCH(B54,KhoiVTM!$C:$C,0)),"@"))),FALSE())*1)+(IFERROR(OR(AND(OR(E54="—",E54=""),OR(TEXT(INDEX(KhoiVTM!$M:$M,MATCH(B54,KhoiVTM!$C:$C,0)),"@")="",TEXT(INDEX(KhoiVTM!$M:$M,MATCH(B54,KhoiVTM!$C:$C,0)),"@")="—")),EXACT(TEXT(E54,"@"),TEXT(INDEX(KhoiVTM!$M:$M,MATCH(B54,KhoiVTM!$C:$C,0)),"@"))),FALSE())*1)=4,"Match",IF((EXACT(C54,IFERROR(INDEX(KhoiVTM!$D:$D,MATCH(B54,KhoiVTM!$C:$C,0)),"__NA__"))*1)+(IFERROR(F54=INDEX(KhoiVTM!$F:$F,MATCH(B54,KhoiVTM!$C:$C,0)),FALSE())*1)+(IFERROR(OR(AND(OR(D54="—",D54=""),OR(TEXT(INDEX(KhoiVTM!$J:$J,MATCH(B54,KhoiVTM!$C:$C,0)),"@")="",TEXT(INDEX(KhoiVTM!$J:$J,MATCH(B54,KhoiVTM!$C:$C,0)),"@")="—")),EXACT(TEXT(D54,"@"),TEXT(INDEX(KhoiVTM!$J:$J,MATCH(B54,KhoiVTM!$C:$C,0)),"@"))),FALSE())*1)+(IFERROR(OR(AND(OR(E54="—",E54=""),OR(TEXT(INDEX(KhoiVTM!$M:$M,MATCH(B54,KhoiVTM!$C:$C,0)),"@")="",TEXT(INDEX(KhoiVTM!$M:$M,MATCH(B54,KhoiVTM!$C:$C,0)),"@")="—")),EXACT(TEXT(E54,"@"),TEXT(INDEX(KhoiVTM!$M:$M,MATCH(B54,KhoiVTM!$C:$C,0)),"@"))),FALSE())*1)&gt;=3,"Partial","Mismatch"))),"Not Found")</f>
        <v>Match</v>
      </c>
    </row>
    <row r="55" spans="1:14" x14ac:dyDescent="0.25">
      <c r="A55" s="114">
        <f>KhoiVTM!A55</f>
        <v>54</v>
      </c>
      <c r="B55" s="114" t="str">
        <f>KhoiVTM!C55</f>
        <v>ADP7142AUJZ-5.0-R7</v>
      </c>
      <c r="C55" s="114" t="str">
        <f>KhoiVTM!D55</f>
        <v>IC REG LINEAR 5V 200MA TSOT-23-5</v>
      </c>
      <c r="D55" s="113" t="s">
        <v>514</v>
      </c>
      <c r="E55" s="113" t="s">
        <v>514</v>
      </c>
      <c r="F55" s="114">
        <f>KhoiVTM!F55</f>
        <v>4</v>
      </c>
      <c r="G55" s="114">
        <v>0</v>
      </c>
      <c r="H55" s="114">
        <v>0</v>
      </c>
      <c r="I55" s="114">
        <f t="shared" si="3"/>
        <v>4</v>
      </c>
      <c r="J55" s="58" t="str">
        <f t="shared" si="4"/>
        <v>Other</v>
      </c>
      <c r="K55" s="62" t="s">
        <v>25</v>
      </c>
      <c r="L55" s="114" t="s">
        <v>515</v>
      </c>
      <c r="M55" s="56"/>
      <c r="N55" s="57" t="str">
        <f>IFERROR(IF(ISERROR(MATCH(B55,KhoiVTM!$C:$C,0)),"Not Found",IF((EXACT(C55,IFERROR(INDEX(KhoiVTM!$D:$D,MATCH(B55,KhoiVTM!$C:$C,0)),"__NA__"))*1)+(IFERROR(F55=INDEX(KhoiVTM!$F:$F,MATCH(B55,KhoiVTM!$C:$C,0)),FALSE())*1)+(IFERROR(OR(AND(OR(D55="—",D55=""),OR(TEXT(INDEX(KhoiVTM!$J:$J,MATCH(B55,KhoiVTM!$C:$C,0)),"@")="",TEXT(INDEX(KhoiVTM!$J:$J,MATCH(B55,KhoiVTM!$C:$C,0)),"@")="—")),EXACT(TEXT(D55,"@"),TEXT(INDEX(KhoiVTM!$J:$J,MATCH(B55,KhoiVTM!$C:$C,0)),"@"))),FALSE())*1)+(IFERROR(OR(AND(OR(E55="—",E55=""),OR(TEXT(INDEX(KhoiVTM!$M:$M,MATCH(B55,KhoiVTM!$C:$C,0)),"@")="",TEXT(INDEX(KhoiVTM!$M:$M,MATCH(B55,KhoiVTM!$C:$C,0)),"@")="—")),EXACT(TEXT(E55,"@"),TEXT(INDEX(KhoiVTM!$M:$M,MATCH(B55,KhoiVTM!$C:$C,0)),"@"))),FALSE())*1)=4,"Match",IF((EXACT(C55,IFERROR(INDEX(KhoiVTM!$D:$D,MATCH(B55,KhoiVTM!$C:$C,0)),"__NA__"))*1)+(IFERROR(F55=INDEX(KhoiVTM!$F:$F,MATCH(B55,KhoiVTM!$C:$C,0)),FALSE())*1)+(IFERROR(OR(AND(OR(D55="—",D55=""),OR(TEXT(INDEX(KhoiVTM!$J:$J,MATCH(B55,KhoiVTM!$C:$C,0)),"@")="",TEXT(INDEX(KhoiVTM!$J:$J,MATCH(B55,KhoiVTM!$C:$C,0)),"@")="—")),EXACT(TEXT(D55,"@"),TEXT(INDEX(KhoiVTM!$J:$J,MATCH(B55,KhoiVTM!$C:$C,0)),"@"))),FALSE())*1)+(IFERROR(OR(AND(OR(E55="—",E55=""),OR(TEXT(INDEX(KhoiVTM!$M:$M,MATCH(B55,KhoiVTM!$C:$C,0)),"@")="",TEXT(INDEX(KhoiVTM!$M:$M,MATCH(B55,KhoiVTM!$C:$C,0)),"@")="—")),EXACT(TEXT(E55,"@"),TEXT(INDEX(KhoiVTM!$M:$M,MATCH(B55,KhoiVTM!$C:$C,0)),"@"))),FALSE())*1)&gt;=3,"Partial","Mismatch"))),"Not Found")</f>
        <v>Mismatch</v>
      </c>
    </row>
    <row r="56" spans="1:14" x14ac:dyDescent="0.25">
      <c r="A56" s="114">
        <f>KhoiVTM!A56</f>
        <v>55</v>
      </c>
      <c r="B56" s="114" t="str">
        <f>KhoiVTM!C56</f>
        <v>ADP7182AUJZ-5.0-R7</v>
      </c>
      <c r="C56" s="114" t="str">
        <f>KhoiVTM!D56</f>
        <v>IC REG LINEAR -5V 200MA TSOT-23-5</v>
      </c>
      <c r="D56" s="113" t="s">
        <v>514</v>
      </c>
      <c r="E56" s="113" t="s">
        <v>514</v>
      </c>
      <c r="F56" s="114">
        <f>KhoiVTM!F56</f>
        <v>4</v>
      </c>
      <c r="G56" s="114">
        <v>0</v>
      </c>
      <c r="H56" s="114">
        <v>0</v>
      </c>
      <c r="I56" s="114">
        <f t="shared" si="3"/>
        <v>4</v>
      </c>
      <c r="J56" s="58" t="str">
        <f t="shared" si="4"/>
        <v>Other</v>
      </c>
      <c r="K56" s="62" t="s">
        <v>25</v>
      </c>
      <c r="L56" s="114" t="s">
        <v>515</v>
      </c>
      <c r="M56" s="56"/>
      <c r="N56" s="57" t="str">
        <f>IFERROR(IF(ISERROR(MATCH(B56,KhoiVTM!$C:$C,0)),"Not Found",IF((EXACT(C56,IFERROR(INDEX(KhoiVTM!$D:$D,MATCH(B56,KhoiVTM!$C:$C,0)),"__NA__"))*1)+(IFERROR(F56=INDEX(KhoiVTM!$F:$F,MATCH(B56,KhoiVTM!$C:$C,0)),FALSE())*1)+(IFERROR(OR(AND(OR(D56="—",D56=""),OR(TEXT(INDEX(KhoiVTM!$J:$J,MATCH(B56,KhoiVTM!$C:$C,0)),"@")="",TEXT(INDEX(KhoiVTM!$J:$J,MATCH(B56,KhoiVTM!$C:$C,0)),"@")="—")),EXACT(TEXT(D56,"@"),TEXT(INDEX(KhoiVTM!$J:$J,MATCH(B56,KhoiVTM!$C:$C,0)),"@"))),FALSE())*1)+(IFERROR(OR(AND(OR(E56="—",E56=""),OR(TEXT(INDEX(KhoiVTM!$M:$M,MATCH(B56,KhoiVTM!$C:$C,0)),"@")="",TEXT(INDEX(KhoiVTM!$M:$M,MATCH(B56,KhoiVTM!$C:$C,0)),"@")="—")),EXACT(TEXT(E56,"@"),TEXT(INDEX(KhoiVTM!$M:$M,MATCH(B56,KhoiVTM!$C:$C,0)),"@"))),FALSE())*1)=4,"Match",IF((EXACT(C56,IFERROR(INDEX(KhoiVTM!$D:$D,MATCH(B56,KhoiVTM!$C:$C,0)),"__NA__"))*1)+(IFERROR(F56=INDEX(KhoiVTM!$F:$F,MATCH(B56,KhoiVTM!$C:$C,0)),FALSE())*1)+(IFERROR(OR(AND(OR(D56="—",D56=""),OR(TEXT(INDEX(KhoiVTM!$J:$J,MATCH(B56,KhoiVTM!$C:$C,0)),"@")="",TEXT(INDEX(KhoiVTM!$J:$J,MATCH(B56,KhoiVTM!$C:$C,0)),"@")="—")),EXACT(TEXT(D56,"@"),TEXT(INDEX(KhoiVTM!$J:$J,MATCH(B56,KhoiVTM!$C:$C,0)),"@"))),FALSE())*1)+(IFERROR(OR(AND(OR(E56="—",E56=""),OR(TEXT(INDEX(KhoiVTM!$M:$M,MATCH(B56,KhoiVTM!$C:$C,0)),"@")="",TEXT(INDEX(KhoiVTM!$M:$M,MATCH(B56,KhoiVTM!$C:$C,0)),"@")="—")),EXACT(TEXT(E56,"@"),TEXT(INDEX(KhoiVTM!$M:$M,MATCH(B56,KhoiVTM!$C:$C,0)),"@"))),FALSE())*1)&gt;=3,"Partial","Mismatch"))),"Not Found")</f>
        <v>Mismatch</v>
      </c>
    </row>
    <row r="57" spans="1:14" x14ac:dyDescent="0.25">
      <c r="A57" s="114">
        <f>KhoiVTM!A57</f>
        <v>56</v>
      </c>
      <c r="B57" s="114" t="str">
        <f>KhoiVTM!C57</f>
        <v>TPS7A2033PDBVR</v>
      </c>
      <c r="C57" s="114" t="str">
        <f>KhoiVTM!D57</f>
        <v>IC REG LINEAR 3.3V 300MA SOT23-5</v>
      </c>
      <c r="D57" s="113" t="s">
        <v>514</v>
      </c>
      <c r="E57" s="113" t="s">
        <v>514</v>
      </c>
      <c r="F57" s="114">
        <f>KhoiVTM!F57</f>
        <v>10</v>
      </c>
      <c r="G57" s="114">
        <v>0</v>
      </c>
      <c r="H57" s="114">
        <v>0</v>
      </c>
      <c r="I57" s="114">
        <f t="shared" si="3"/>
        <v>10</v>
      </c>
      <c r="J57" s="58" t="str">
        <f t="shared" si="4"/>
        <v>Other</v>
      </c>
      <c r="K57" s="62" t="s">
        <v>25</v>
      </c>
      <c r="L57" s="114" t="s">
        <v>515</v>
      </c>
      <c r="M57" s="56"/>
      <c r="N57" s="57" t="str">
        <f>IFERROR(IF(ISERROR(MATCH(B57,KhoiVTM!$C:$C,0)),"Not Found",IF((EXACT(C57,IFERROR(INDEX(KhoiVTM!$D:$D,MATCH(B57,KhoiVTM!$C:$C,0)),"__NA__"))*1)+(IFERROR(F57=INDEX(KhoiVTM!$F:$F,MATCH(B57,KhoiVTM!$C:$C,0)),FALSE())*1)+(IFERROR(OR(AND(OR(D57="—",D57=""),OR(TEXT(INDEX(KhoiVTM!$J:$J,MATCH(B57,KhoiVTM!$C:$C,0)),"@")="",TEXT(INDEX(KhoiVTM!$J:$J,MATCH(B57,KhoiVTM!$C:$C,0)),"@")="—")),EXACT(TEXT(D57,"@"),TEXT(INDEX(KhoiVTM!$J:$J,MATCH(B57,KhoiVTM!$C:$C,0)),"@"))),FALSE())*1)+(IFERROR(OR(AND(OR(E57="—",E57=""),OR(TEXT(INDEX(KhoiVTM!$M:$M,MATCH(B57,KhoiVTM!$C:$C,0)),"@")="",TEXT(INDEX(KhoiVTM!$M:$M,MATCH(B57,KhoiVTM!$C:$C,0)),"@")="—")),EXACT(TEXT(E57,"@"),TEXT(INDEX(KhoiVTM!$M:$M,MATCH(B57,KhoiVTM!$C:$C,0)),"@"))),FALSE())*1)=4,"Match",IF((EXACT(C57,IFERROR(INDEX(KhoiVTM!$D:$D,MATCH(B57,KhoiVTM!$C:$C,0)),"__NA__"))*1)+(IFERROR(F57=INDEX(KhoiVTM!$F:$F,MATCH(B57,KhoiVTM!$C:$C,0)),FALSE())*1)+(IFERROR(OR(AND(OR(D57="—",D57=""),OR(TEXT(INDEX(KhoiVTM!$J:$J,MATCH(B57,KhoiVTM!$C:$C,0)),"@")="",TEXT(INDEX(KhoiVTM!$J:$J,MATCH(B57,KhoiVTM!$C:$C,0)),"@")="—")),EXACT(TEXT(D57,"@"),TEXT(INDEX(KhoiVTM!$J:$J,MATCH(B57,KhoiVTM!$C:$C,0)),"@"))),FALSE())*1)+(IFERROR(OR(AND(OR(E57="—",E57=""),OR(TEXT(INDEX(KhoiVTM!$M:$M,MATCH(B57,KhoiVTM!$C:$C,0)),"@")="",TEXT(INDEX(KhoiVTM!$M:$M,MATCH(B57,KhoiVTM!$C:$C,0)),"@")="—")),EXACT(TEXT(E57,"@"),TEXT(INDEX(KhoiVTM!$M:$M,MATCH(B57,KhoiVTM!$C:$C,0)),"@"))),FALSE())*1)&gt;=3,"Partial","Mismatch"))),"Not Found")</f>
        <v>Mismatch</v>
      </c>
    </row>
    <row r="58" spans="1:14" x14ac:dyDescent="0.25">
      <c r="A58" s="114">
        <f>KhoiVTM!A58</f>
        <v>57</v>
      </c>
      <c r="B58" s="114" t="str">
        <f>KhoiVTM!C58</f>
        <v>TLV75533PDBVR</v>
      </c>
      <c r="C58" s="114" t="str">
        <f>KhoiVTM!D58</f>
        <v>IC REG LINEAR 3.3V 500MA SOT23-5</v>
      </c>
      <c r="D58" s="113" t="s">
        <v>514</v>
      </c>
      <c r="E58" s="113" t="s">
        <v>514</v>
      </c>
      <c r="F58" s="114">
        <f>KhoiVTM!F58</f>
        <v>10</v>
      </c>
      <c r="G58" s="114">
        <v>0</v>
      </c>
      <c r="H58" s="114">
        <v>0</v>
      </c>
      <c r="I58" s="114">
        <f t="shared" si="3"/>
        <v>10</v>
      </c>
      <c r="J58" s="58" t="str">
        <f t="shared" si="4"/>
        <v>Other</v>
      </c>
      <c r="K58" s="62" t="s">
        <v>25</v>
      </c>
      <c r="L58" s="114" t="s">
        <v>515</v>
      </c>
      <c r="M58" s="56"/>
      <c r="N58" s="57" t="str">
        <f>IFERROR(IF(ISERROR(MATCH(B58,KhoiVTM!$C:$C,0)),"Not Found",IF((EXACT(C58,IFERROR(INDEX(KhoiVTM!$D:$D,MATCH(B58,KhoiVTM!$C:$C,0)),"__NA__"))*1)+(IFERROR(F58=INDEX(KhoiVTM!$F:$F,MATCH(B58,KhoiVTM!$C:$C,0)),FALSE())*1)+(IFERROR(OR(AND(OR(D58="—",D58=""),OR(TEXT(INDEX(KhoiVTM!$J:$J,MATCH(B58,KhoiVTM!$C:$C,0)),"@")="",TEXT(INDEX(KhoiVTM!$J:$J,MATCH(B58,KhoiVTM!$C:$C,0)),"@")="—")),EXACT(TEXT(D58,"@"),TEXT(INDEX(KhoiVTM!$J:$J,MATCH(B58,KhoiVTM!$C:$C,0)),"@"))),FALSE())*1)+(IFERROR(OR(AND(OR(E58="—",E58=""),OR(TEXT(INDEX(KhoiVTM!$M:$M,MATCH(B58,KhoiVTM!$C:$C,0)),"@")="",TEXT(INDEX(KhoiVTM!$M:$M,MATCH(B58,KhoiVTM!$C:$C,0)),"@")="—")),EXACT(TEXT(E58,"@"),TEXT(INDEX(KhoiVTM!$M:$M,MATCH(B58,KhoiVTM!$C:$C,0)),"@"))),FALSE())*1)=4,"Match",IF((EXACT(C58,IFERROR(INDEX(KhoiVTM!$D:$D,MATCH(B58,KhoiVTM!$C:$C,0)),"__NA__"))*1)+(IFERROR(F58=INDEX(KhoiVTM!$F:$F,MATCH(B58,KhoiVTM!$C:$C,0)),FALSE())*1)+(IFERROR(OR(AND(OR(D58="—",D58=""),OR(TEXT(INDEX(KhoiVTM!$J:$J,MATCH(B58,KhoiVTM!$C:$C,0)),"@")="",TEXT(INDEX(KhoiVTM!$J:$J,MATCH(B58,KhoiVTM!$C:$C,0)),"@")="—")),EXACT(TEXT(D58,"@"),TEXT(INDEX(KhoiVTM!$J:$J,MATCH(B58,KhoiVTM!$C:$C,0)),"@"))),FALSE())*1)+(IFERROR(OR(AND(OR(E58="—",E58=""),OR(TEXT(INDEX(KhoiVTM!$M:$M,MATCH(B58,KhoiVTM!$C:$C,0)),"@")="",TEXT(INDEX(KhoiVTM!$M:$M,MATCH(B58,KhoiVTM!$C:$C,0)),"@")="—")),EXACT(TEXT(E58,"@"),TEXT(INDEX(KhoiVTM!$M:$M,MATCH(B58,KhoiVTM!$C:$C,0)),"@"))),FALSE())*1)&gt;=3,"Partial","Mismatch"))),"Not Found")</f>
        <v>Mismatch</v>
      </c>
    </row>
    <row r="59" spans="1:14" x14ac:dyDescent="0.25">
      <c r="A59" s="114">
        <f>KhoiVTM!A59</f>
        <v>58</v>
      </c>
      <c r="B59" s="114" t="str">
        <f>KhoiVTM!C59</f>
        <v>BLM18KG601SN1D</v>
      </c>
      <c r="C59" s="114" t="str">
        <f>KhoiVTM!D59</f>
        <v>FERRITE BEAD 600 OHM 0603 1LN</v>
      </c>
      <c r="D59" s="113">
        <v>600</v>
      </c>
      <c r="E59" s="113">
        <v>603</v>
      </c>
      <c r="F59" s="114">
        <f>KhoiVTM!F59</f>
        <v>25</v>
      </c>
      <c r="G59" s="114">
        <v>0</v>
      </c>
      <c r="H59" s="114">
        <v>0</v>
      </c>
      <c r="I59" s="114">
        <f t="shared" si="3"/>
        <v>25</v>
      </c>
      <c r="J59" s="58" t="str">
        <f t="shared" si="4"/>
        <v>Other</v>
      </c>
      <c r="K59" s="62" t="s">
        <v>25</v>
      </c>
      <c r="L59" s="114" t="s">
        <v>515</v>
      </c>
      <c r="M59" s="56"/>
      <c r="N59" s="57" t="str">
        <f>IFERROR(IF(ISERROR(MATCH(B59,KhoiVTM!$C:$C,0)),"Not Found",IF((EXACT(C59,IFERROR(INDEX(KhoiVTM!$D:$D,MATCH(B59,KhoiVTM!$C:$C,0)),"__NA__"))*1)+(IFERROR(F59=INDEX(KhoiVTM!$F:$F,MATCH(B59,KhoiVTM!$C:$C,0)),FALSE())*1)+(IFERROR(OR(AND(OR(D59="—",D59=""),OR(TEXT(INDEX(KhoiVTM!$J:$J,MATCH(B59,KhoiVTM!$C:$C,0)),"@")="",TEXT(INDEX(KhoiVTM!$J:$J,MATCH(B59,KhoiVTM!$C:$C,0)),"@")="—")),EXACT(TEXT(D59,"@"),TEXT(INDEX(KhoiVTM!$J:$J,MATCH(B59,KhoiVTM!$C:$C,0)),"@"))),FALSE())*1)+(IFERROR(OR(AND(OR(E59="—",E59=""),OR(TEXT(INDEX(KhoiVTM!$M:$M,MATCH(B59,KhoiVTM!$C:$C,0)),"@")="",TEXT(INDEX(KhoiVTM!$M:$M,MATCH(B59,KhoiVTM!$C:$C,0)),"@")="—")),EXACT(TEXT(E59,"@"),TEXT(INDEX(KhoiVTM!$M:$M,MATCH(B59,KhoiVTM!$C:$C,0)),"@"))),FALSE())*1)=4,"Match",IF((EXACT(C59,IFERROR(INDEX(KhoiVTM!$D:$D,MATCH(B59,KhoiVTM!$C:$C,0)),"__NA__"))*1)+(IFERROR(F59=INDEX(KhoiVTM!$F:$F,MATCH(B59,KhoiVTM!$C:$C,0)),FALSE())*1)+(IFERROR(OR(AND(OR(D59="—",D59=""),OR(TEXT(INDEX(KhoiVTM!$J:$J,MATCH(B59,KhoiVTM!$C:$C,0)),"@")="",TEXT(INDEX(KhoiVTM!$J:$J,MATCH(B59,KhoiVTM!$C:$C,0)),"@")="—")),EXACT(TEXT(D59,"@"),TEXT(INDEX(KhoiVTM!$J:$J,MATCH(B59,KhoiVTM!$C:$C,0)),"@"))),FALSE())*1)+(IFERROR(OR(AND(OR(E59="—",E59=""),OR(TEXT(INDEX(KhoiVTM!$M:$M,MATCH(B59,KhoiVTM!$C:$C,0)),"@")="",TEXT(INDEX(KhoiVTM!$M:$M,MATCH(B59,KhoiVTM!$C:$C,0)),"@")="—")),EXACT(TEXT(E59,"@"),TEXT(INDEX(KhoiVTM!$M:$M,MATCH(B59,KhoiVTM!$C:$C,0)),"@"))),FALSE())*1)&gt;=3,"Partial","Mismatch"))),"Not Found")</f>
        <v>Match</v>
      </c>
    </row>
    <row r="60" spans="1:14" x14ac:dyDescent="0.25">
      <c r="A60" s="114">
        <f>KhoiVTM!A60</f>
        <v>59</v>
      </c>
      <c r="B60" s="114" t="str">
        <f>KhoiVTM!C60</f>
        <v>GRM188R61A105KA61D</v>
      </c>
      <c r="C60" s="114" t="str">
        <f>KhoiVTM!D60</f>
        <v>CAP CER 1UF 10V X5R 0603</v>
      </c>
      <c r="D60" s="113" t="s">
        <v>523</v>
      </c>
      <c r="E60" s="113" t="str">
        <f t="shared" ref="E60:E72" si="6">RIGHT(TRIM(C60), 4)</f>
        <v>0603</v>
      </c>
      <c r="F60" s="114">
        <f>KhoiVTM!F60</f>
        <v>30</v>
      </c>
      <c r="G60" s="114">
        <v>0</v>
      </c>
      <c r="H60" s="114">
        <v>0</v>
      </c>
      <c r="I60" s="114">
        <f t="shared" si="3"/>
        <v>30</v>
      </c>
      <c r="J60" s="58" t="str">
        <f t="shared" si="4"/>
        <v>Capacitor</v>
      </c>
      <c r="K60" s="62" t="s">
        <v>25</v>
      </c>
      <c r="L60" s="114" t="s">
        <v>515</v>
      </c>
      <c r="M60" s="56"/>
      <c r="N60" s="57" t="str">
        <f>IFERROR(IF(ISERROR(MATCH(B60,KhoiVTM!$C:$C,0)),"Not Found",IF((EXACT(C60,IFERROR(INDEX(KhoiVTM!$D:$D,MATCH(B60,KhoiVTM!$C:$C,0)),"__NA__"))*1)+(IFERROR(F60=INDEX(KhoiVTM!$F:$F,MATCH(B60,KhoiVTM!$C:$C,0)),FALSE())*1)+(IFERROR(OR(AND(OR(D60="—",D60=""),OR(TEXT(INDEX(KhoiVTM!$J:$J,MATCH(B60,KhoiVTM!$C:$C,0)),"@")="",TEXT(INDEX(KhoiVTM!$J:$J,MATCH(B60,KhoiVTM!$C:$C,0)),"@")="—")),EXACT(TEXT(D60,"@"),TEXT(INDEX(KhoiVTM!$J:$J,MATCH(B60,KhoiVTM!$C:$C,0)),"@"))),FALSE())*1)+(IFERROR(OR(AND(OR(E60="—",E60=""),OR(TEXT(INDEX(KhoiVTM!$M:$M,MATCH(B60,KhoiVTM!$C:$C,0)),"@")="",TEXT(INDEX(KhoiVTM!$M:$M,MATCH(B60,KhoiVTM!$C:$C,0)),"@")="—")),EXACT(TEXT(E60,"@"),TEXT(INDEX(KhoiVTM!$M:$M,MATCH(B60,KhoiVTM!$C:$C,0)),"@"))),FALSE())*1)=4,"Match",IF((EXACT(C60,IFERROR(INDEX(KhoiVTM!$D:$D,MATCH(B60,KhoiVTM!$C:$C,0)),"__NA__"))*1)+(IFERROR(F60=INDEX(KhoiVTM!$F:$F,MATCH(B60,KhoiVTM!$C:$C,0)),FALSE())*1)+(IFERROR(OR(AND(OR(D60="—",D60=""),OR(TEXT(INDEX(KhoiVTM!$J:$J,MATCH(B60,KhoiVTM!$C:$C,0)),"@")="",TEXT(INDEX(KhoiVTM!$J:$J,MATCH(B60,KhoiVTM!$C:$C,0)),"@")="—")),EXACT(TEXT(D60,"@"),TEXT(INDEX(KhoiVTM!$J:$J,MATCH(B60,KhoiVTM!$C:$C,0)),"@"))),FALSE())*1)+(IFERROR(OR(AND(OR(E60="—",E60=""),OR(TEXT(INDEX(KhoiVTM!$M:$M,MATCH(B60,KhoiVTM!$C:$C,0)),"@")="",TEXT(INDEX(KhoiVTM!$M:$M,MATCH(B60,KhoiVTM!$C:$C,0)),"@")="—")),EXACT(TEXT(E60,"@"),TEXT(INDEX(KhoiVTM!$M:$M,MATCH(B60,KhoiVTM!$C:$C,0)),"@"))),FALSE())*1)&gt;=3,"Partial","Mismatch"))),"Not Found")</f>
        <v>Match</v>
      </c>
    </row>
    <row r="61" spans="1:14" x14ac:dyDescent="0.25">
      <c r="A61" s="114">
        <f>KhoiVTM!A61</f>
        <v>60</v>
      </c>
      <c r="B61" s="114" t="str">
        <f>KhoiVTM!C61</f>
        <v>CRCW06032K61FKEA</v>
      </c>
      <c r="C61" s="114" t="str">
        <f>KhoiVTM!D61</f>
        <v>RES SMD 2.61K OHM 1% 1/8W 0603</v>
      </c>
      <c r="D61" s="113" t="s">
        <v>542</v>
      </c>
      <c r="E61" s="113" t="str">
        <f t="shared" si="6"/>
        <v>0603</v>
      </c>
      <c r="F61" s="114">
        <f>KhoiVTM!F61</f>
        <v>25</v>
      </c>
      <c r="G61" s="114">
        <v>0</v>
      </c>
      <c r="H61" s="114">
        <v>0</v>
      </c>
      <c r="I61" s="114">
        <f t="shared" si="3"/>
        <v>25</v>
      </c>
      <c r="J61" s="58" t="str">
        <f t="shared" si="4"/>
        <v>Resistor</v>
      </c>
      <c r="K61" s="62" t="s">
        <v>25</v>
      </c>
      <c r="L61" s="114" t="s">
        <v>515</v>
      </c>
      <c r="M61" s="56"/>
      <c r="N61" s="57" t="str">
        <f>IFERROR(IF(ISERROR(MATCH(B61,KhoiVTM!$C:$C,0)),"Not Found",IF((EXACT(C61,IFERROR(INDEX(KhoiVTM!$D:$D,MATCH(B61,KhoiVTM!$C:$C,0)),"__NA__"))*1)+(IFERROR(F61=INDEX(KhoiVTM!$F:$F,MATCH(B61,KhoiVTM!$C:$C,0)),FALSE())*1)+(IFERROR(OR(AND(OR(D61="—",D61=""),OR(TEXT(INDEX(KhoiVTM!$J:$J,MATCH(B61,KhoiVTM!$C:$C,0)),"@")="",TEXT(INDEX(KhoiVTM!$J:$J,MATCH(B61,KhoiVTM!$C:$C,0)),"@")="—")),EXACT(TEXT(D61,"@"),TEXT(INDEX(KhoiVTM!$J:$J,MATCH(B61,KhoiVTM!$C:$C,0)),"@"))),FALSE())*1)+(IFERROR(OR(AND(OR(E61="—",E61=""),OR(TEXT(INDEX(KhoiVTM!$M:$M,MATCH(B61,KhoiVTM!$C:$C,0)),"@")="",TEXT(INDEX(KhoiVTM!$M:$M,MATCH(B61,KhoiVTM!$C:$C,0)),"@")="—")),EXACT(TEXT(E61,"@"),TEXT(INDEX(KhoiVTM!$M:$M,MATCH(B61,KhoiVTM!$C:$C,0)),"@"))),FALSE())*1)=4,"Match",IF((EXACT(C61,IFERROR(INDEX(KhoiVTM!$D:$D,MATCH(B61,KhoiVTM!$C:$C,0)),"__NA__"))*1)+(IFERROR(F61=INDEX(KhoiVTM!$F:$F,MATCH(B61,KhoiVTM!$C:$C,0)),FALSE())*1)+(IFERROR(OR(AND(OR(D61="—",D61=""),OR(TEXT(INDEX(KhoiVTM!$J:$J,MATCH(B61,KhoiVTM!$C:$C,0)),"@")="",TEXT(INDEX(KhoiVTM!$J:$J,MATCH(B61,KhoiVTM!$C:$C,0)),"@")="—")),EXACT(TEXT(D61,"@"),TEXT(INDEX(KhoiVTM!$J:$J,MATCH(B61,KhoiVTM!$C:$C,0)),"@"))),FALSE())*1)+(IFERROR(OR(AND(OR(E61="—",E61=""),OR(TEXT(INDEX(KhoiVTM!$M:$M,MATCH(B61,KhoiVTM!$C:$C,0)),"@")="",TEXT(INDEX(KhoiVTM!$M:$M,MATCH(B61,KhoiVTM!$C:$C,0)),"@")="—")),EXACT(TEXT(E61,"@"),TEXT(INDEX(KhoiVTM!$M:$M,MATCH(B61,KhoiVTM!$C:$C,0)),"@"))),FALSE())*1)&gt;=3,"Partial","Mismatch"))),"Not Found")</f>
        <v>Match</v>
      </c>
    </row>
    <row r="62" spans="1:14" x14ac:dyDescent="0.25">
      <c r="A62" s="114">
        <f>KhoiVTM!A62</f>
        <v>61</v>
      </c>
      <c r="B62" s="114" t="str">
        <f>KhoiVTM!C62</f>
        <v>C0402C151K5RACTU</v>
      </c>
      <c r="C62" s="114" t="str">
        <f>KhoiVTM!D62</f>
        <v>CAP CER 150PF 50V X7R 0402</v>
      </c>
      <c r="D62" s="113" t="s">
        <v>543</v>
      </c>
      <c r="E62" s="113" t="str">
        <f t="shared" si="6"/>
        <v>0402</v>
      </c>
      <c r="F62" s="114">
        <f>KhoiVTM!F62</f>
        <v>25</v>
      </c>
      <c r="G62" s="114">
        <v>0</v>
      </c>
      <c r="H62" s="114">
        <v>0</v>
      </c>
      <c r="I62" s="114">
        <f t="shared" si="3"/>
        <v>25</v>
      </c>
      <c r="J62" s="58" t="str">
        <f t="shared" si="4"/>
        <v>Capacitor</v>
      </c>
      <c r="K62" s="62" t="s">
        <v>25</v>
      </c>
      <c r="L62" s="114" t="s">
        <v>515</v>
      </c>
      <c r="M62" s="56"/>
      <c r="N62" s="57" t="str">
        <f>IFERROR(IF(ISERROR(MATCH(B62,KhoiVTM!$C:$C,0)),"Not Found",IF((EXACT(C62,IFERROR(INDEX(KhoiVTM!$D:$D,MATCH(B62,KhoiVTM!$C:$C,0)),"__NA__"))*1)+(IFERROR(F62=INDEX(KhoiVTM!$F:$F,MATCH(B62,KhoiVTM!$C:$C,0)),FALSE())*1)+(IFERROR(OR(AND(OR(D62="—",D62=""),OR(TEXT(INDEX(KhoiVTM!$J:$J,MATCH(B62,KhoiVTM!$C:$C,0)),"@")="",TEXT(INDEX(KhoiVTM!$J:$J,MATCH(B62,KhoiVTM!$C:$C,0)),"@")="—")),EXACT(TEXT(D62,"@"),TEXT(INDEX(KhoiVTM!$J:$J,MATCH(B62,KhoiVTM!$C:$C,0)),"@"))),FALSE())*1)+(IFERROR(OR(AND(OR(E62="—",E62=""),OR(TEXT(INDEX(KhoiVTM!$M:$M,MATCH(B62,KhoiVTM!$C:$C,0)),"@")="",TEXT(INDEX(KhoiVTM!$M:$M,MATCH(B62,KhoiVTM!$C:$C,0)),"@")="—")),EXACT(TEXT(E62,"@"),TEXT(INDEX(KhoiVTM!$M:$M,MATCH(B62,KhoiVTM!$C:$C,0)),"@"))),FALSE())*1)=4,"Match",IF((EXACT(C62,IFERROR(INDEX(KhoiVTM!$D:$D,MATCH(B62,KhoiVTM!$C:$C,0)),"__NA__"))*1)+(IFERROR(F62=INDEX(KhoiVTM!$F:$F,MATCH(B62,KhoiVTM!$C:$C,0)),FALSE())*1)+(IFERROR(OR(AND(OR(D62="—",D62=""),OR(TEXT(INDEX(KhoiVTM!$J:$J,MATCH(B62,KhoiVTM!$C:$C,0)),"@")="",TEXT(INDEX(KhoiVTM!$J:$J,MATCH(B62,KhoiVTM!$C:$C,0)),"@")="—")),EXACT(TEXT(D62,"@"),TEXT(INDEX(KhoiVTM!$J:$J,MATCH(B62,KhoiVTM!$C:$C,0)),"@"))),FALSE())*1)+(IFERROR(OR(AND(OR(E62="—",E62=""),OR(TEXT(INDEX(KhoiVTM!$M:$M,MATCH(B62,KhoiVTM!$C:$C,0)),"@")="",TEXT(INDEX(KhoiVTM!$M:$M,MATCH(B62,KhoiVTM!$C:$C,0)),"@")="—")),EXACT(TEXT(E62,"@"),TEXT(INDEX(KhoiVTM!$M:$M,MATCH(B62,KhoiVTM!$C:$C,0)),"@"))),FALSE())*1)&gt;=3,"Partial","Mismatch"))),"Not Found")</f>
        <v>Match</v>
      </c>
    </row>
    <row r="63" spans="1:14" x14ac:dyDescent="0.25">
      <c r="A63" s="114">
        <f>KhoiVTM!A63</f>
        <v>62</v>
      </c>
      <c r="B63" s="114" t="str">
        <f>KhoiVTM!C63</f>
        <v>CL10C330JB8NNNC</v>
      </c>
      <c r="C63" s="114" t="str">
        <f>KhoiVTM!D63</f>
        <v>CAP CER 33PF 50V C0G/NP0 0603</v>
      </c>
      <c r="D63" s="113" t="s">
        <v>544</v>
      </c>
      <c r="E63" s="113" t="str">
        <f t="shared" si="6"/>
        <v>0603</v>
      </c>
      <c r="F63" s="114">
        <f>KhoiVTM!F63</f>
        <v>25</v>
      </c>
      <c r="G63" s="114">
        <v>0</v>
      </c>
      <c r="H63" s="114">
        <v>0</v>
      </c>
      <c r="I63" s="114">
        <f t="shared" si="3"/>
        <v>25</v>
      </c>
      <c r="J63" s="58" t="str">
        <f t="shared" si="4"/>
        <v>Capacitor</v>
      </c>
      <c r="K63" s="62" t="s">
        <v>25</v>
      </c>
      <c r="L63" s="114" t="s">
        <v>515</v>
      </c>
      <c r="M63" s="56"/>
      <c r="N63" s="57" t="str">
        <f>IFERROR(IF(ISERROR(MATCH(B63,KhoiVTM!$C:$C,0)),"Not Found",IF((EXACT(C63,IFERROR(INDEX(KhoiVTM!$D:$D,MATCH(B63,KhoiVTM!$C:$C,0)),"__NA__"))*1)+(IFERROR(F63=INDEX(KhoiVTM!$F:$F,MATCH(B63,KhoiVTM!$C:$C,0)),FALSE())*1)+(IFERROR(OR(AND(OR(D63="—",D63=""),OR(TEXT(INDEX(KhoiVTM!$J:$J,MATCH(B63,KhoiVTM!$C:$C,0)),"@")="",TEXT(INDEX(KhoiVTM!$J:$J,MATCH(B63,KhoiVTM!$C:$C,0)),"@")="—")),EXACT(TEXT(D63,"@"),TEXT(INDEX(KhoiVTM!$J:$J,MATCH(B63,KhoiVTM!$C:$C,0)),"@"))),FALSE())*1)+(IFERROR(OR(AND(OR(E63="—",E63=""),OR(TEXT(INDEX(KhoiVTM!$M:$M,MATCH(B63,KhoiVTM!$C:$C,0)),"@")="",TEXT(INDEX(KhoiVTM!$M:$M,MATCH(B63,KhoiVTM!$C:$C,0)),"@")="—")),EXACT(TEXT(E63,"@"),TEXT(INDEX(KhoiVTM!$M:$M,MATCH(B63,KhoiVTM!$C:$C,0)),"@"))),FALSE())*1)=4,"Match",IF((EXACT(C63,IFERROR(INDEX(KhoiVTM!$D:$D,MATCH(B63,KhoiVTM!$C:$C,0)),"__NA__"))*1)+(IFERROR(F63=INDEX(KhoiVTM!$F:$F,MATCH(B63,KhoiVTM!$C:$C,0)),FALSE())*1)+(IFERROR(OR(AND(OR(D63="—",D63=""),OR(TEXT(INDEX(KhoiVTM!$J:$J,MATCH(B63,KhoiVTM!$C:$C,0)),"@")="",TEXT(INDEX(KhoiVTM!$J:$J,MATCH(B63,KhoiVTM!$C:$C,0)),"@")="—")),EXACT(TEXT(D63,"@"),TEXT(INDEX(KhoiVTM!$J:$J,MATCH(B63,KhoiVTM!$C:$C,0)),"@"))),FALSE())*1)+(IFERROR(OR(AND(OR(E63="—",E63=""),OR(TEXT(INDEX(KhoiVTM!$M:$M,MATCH(B63,KhoiVTM!$C:$C,0)),"@")="",TEXT(INDEX(KhoiVTM!$M:$M,MATCH(B63,KhoiVTM!$C:$C,0)),"@")="—")),EXACT(TEXT(E63,"@"),TEXT(INDEX(KhoiVTM!$M:$M,MATCH(B63,KhoiVTM!$C:$C,0)),"@"))),FALSE())*1)&gt;=3,"Partial","Mismatch"))),"Not Found")</f>
        <v>Match</v>
      </c>
    </row>
    <row r="64" spans="1:14" x14ac:dyDescent="0.25">
      <c r="A64" s="114">
        <f>KhoiVTM!A64</f>
        <v>63</v>
      </c>
      <c r="B64" s="114" t="str">
        <f>KhoiVTM!C64</f>
        <v>RNCF0603TKY49R9</v>
      </c>
      <c r="C64" s="114" t="str">
        <f>KhoiVTM!D64</f>
        <v>RES 49.9 OHM 0.01% 1/10W 0603</v>
      </c>
      <c r="D64" s="113">
        <v>49.9</v>
      </c>
      <c r="E64" s="113" t="str">
        <f t="shared" si="6"/>
        <v>0603</v>
      </c>
      <c r="F64" s="114">
        <f>KhoiVTM!F64</f>
        <v>12</v>
      </c>
      <c r="G64" s="114">
        <v>4</v>
      </c>
      <c r="H64" s="114">
        <v>0</v>
      </c>
      <c r="I64" s="114">
        <f t="shared" si="3"/>
        <v>12</v>
      </c>
      <c r="J64" s="58" t="str">
        <f t="shared" si="4"/>
        <v>Resistor</v>
      </c>
      <c r="K64" s="62" t="s">
        <v>299</v>
      </c>
      <c r="L64" s="114" t="s">
        <v>515</v>
      </c>
      <c r="M64" s="56"/>
      <c r="N64" s="57" t="str">
        <f>IFERROR(IF(ISERROR(MATCH(B64,KhoiVTM!$C:$C,0)),"Not Found",IF((EXACT(C64,IFERROR(INDEX(KhoiVTM!$D:$D,MATCH(B64,KhoiVTM!$C:$C,0)),"__NA__"))*1)+(IFERROR(F64=INDEX(KhoiVTM!$F:$F,MATCH(B64,KhoiVTM!$C:$C,0)),FALSE())*1)+(IFERROR(OR(AND(OR(D64="—",D64=""),OR(TEXT(INDEX(KhoiVTM!$J:$J,MATCH(B64,KhoiVTM!$C:$C,0)),"@")="",TEXT(INDEX(KhoiVTM!$J:$J,MATCH(B64,KhoiVTM!$C:$C,0)),"@")="—")),EXACT(TEXT(D64,"@"),TEXT(INDEX(KhoiVTM!$J:$J,MATCH(B64,KhoiVTM!$C:$C,0)),"@"))),FALSE())*1)+(IFERROR(OR(AND(OR(E64="—",E64=""),OR(TEXT(INDEX(KhoiVTM!$M:$M,MATCH(B64,KhoiVTM!$C:$C,0)),"@")="",TEXT(INDEX(KhoiVTM!$M:$M,MATCH(B64,KhoiVTM!$C:$C,0)),"@")="—")),EXACT(TEXT(E64,"@"),TEXT(INDEX(KhoiVTM!$M:$M,MATCH(B64,KhoiVTM!$C:$C,0)),"@"))),FALSE())*1)=4,"Match",IF((EXACT(C64,IFERROR(INDEX(KhoiVTM!$D:$D,MATCH(B64,KhoiVTM!$C:$C,0)),"__NA__"))*1)+(IFERROR(F64=INDEX(KhoiVTM!$F:$F,MATCH(B64,KhoiVTM!$C:$C,0)),FALSE())*1)+(IFERROR(OR(AND(OR(D64="—",D64=""),OR(TEXT(INDEX(KhoiVTM!$J:$J,MATCH(B64,KhoiVTM!$C:$C,0)),"@")="",TEXT(INDEX(KhoiVTM!$J:$J,MATCH(B64,KhoiVTM!$C:$C,0)),"@")="—")),EXACT(TEXT(D64,"@"),TEXT(INDEX(KhoiVTM!$J:$J,MATCH(B64,KhoiVTM!$C:$C,0)),"@"))),FALSE())*1)+(IFERROR(OR(AND(OR(E64="—",E64=""),OR(TEXT(INDEX(KhoiVTM!$M:$M,MATCH(B64,KhoiVTM!$C:$C,0)),"@")="",TEXT(INDEX(KhoiVTM!$M:$M,MATCH(B64,KhoiVTM!$C:$C,0)),"@")="—")),EXACT(TEXT(E64,"@"),TEXT(INDEX(KhoiVTM!$M:$M,MATCH(B64,KhoiVTM!$C:$C,0)),"@"))),FALSE())*1)&gt;=3,"Partial","Mismatch"))),"Not Found")</f>
        <v>Match</v>
      </c>
    </row>
    <row r="65" spans="1:14" x14ac:dyDescent="0.25">
      <c r="A65" s="114">
        <f>KhoiVTM!A65</f>
        <v>64</v>
      </c>
      <c r="B65" s="114" t="str">
        <f>KhoiVTM!C65</f>
        <v>RNCF0603TKY1K00</v>
      </c>
      <c r="C65" s="114" t="str">
        <f>KhoiVTM!D65</f>
        <v>RES SMD 1K OHM 0.01% 1/10W 0603</v>
      </c>
      <c r="D65" s="113" t="s">
        <v>517</v>
      </c>
      <c r="E65" s="113" t="str">
        <f t="shared" si="6"/>
        <v>0603</v>
      </c>
      <c r="F65" s="114">
        <f>KhoiVTM!F65</f>
        <v>10</v>
      </c>
      <c r="G65" s="114">
        <v>2</v>
      </c>
      <c r="H65" s="114">
        <v>0</v>
      </c>
      <c r="I65" s="114">
        <f t="shared" si="3"/>
        <v>10</v>
      </c>
      <c r="J65" s="58" t="str">
        <f t="shared" si="4"/>
        <v>Resistor</v>
      </c>
      <c r="K65" s="62" t="s">
        <v>299</v>
      </c>
      <c r="L65" s="114" t="s">
        <v>515</v>
      </c>
      <c r="M65" s="56"/>
      <c r="N65" s="57" t="str">
        <f>IFERROR(IF(ISERROR(MATCH(B65,KhoiVTM!$C:$C,0)),"Not Found",IF((EXACT(C65,IFERROR(INDEX(KhoiVTM!$D:$D,MATCH(B65,KhoiVTM!$C:$C,0)),"__NA__"))*1)+(IFERROR(F65=INDEX(KhoiVTM!$F:$F,MATCH(B65,KhoiVTM!$C:$C,0)),FALSE())*1)+(IFERROR(OR(AND(OR(D65="—",D65=""),OR(TEXT(INDEX(KhoiVTM!$J:$J,MATCH(B65,KhoiVTM!$C:$C,0)),"@")="",TEXT(INDEX(KhoiVTM!$J:$J,MATCH(B65,KhoiVTM!$C:$C,0)),"@")="—")),EXACT(TEXT(D65,"@"),TEXT(INDEX(KhoiVTM!$J:$J,MATCH(B65,KhoiVTM!$C:$C,0)),"@"))),FALSE())*1)+(IFERROR(OR(AND(OR(E65="—",E65=""),OR(TEXT(INDEX(KhoiVTM!$M:$M,MATCH(B65,KhoiVTM!$C:$C,0)),"@")="",TEXT(INDEX(KhoiVTM!$M:$M,MATCH(B65,KhoiVTM!$C:$C,0)),"@")="—")),EXACT(TEXT(E65,"@"),TEXT(INDEX(KhoiVTM!$M:$M,MATCH(B65,KhoiVTM!$C:$C,0)),"@"))),FALSE())*1)=4,"Match",IF((EXACT(C65,IFERROR(INDEX(KhoiVTM!$D:$D,MATCH(B65,KhoiVTM!$C:$C,0)),"__NA__"))*1)+(IFERROR(F65=INDEX(KhoiVTM!$F:$F,MATCH(B65,KhoiVTM!$C:$C,0)),FALSE())*1)+(IFERROR(OR(AND(OR(D65="—",D65=""),OR(TEXT(INDEX(KhoiVTM!$J:$J,MATCH(B65,KhoiVTM!$C:$C,0)),"@")="",TEXT(INDEX(KhoiVTM!$J:$J,MATCH(B65,KhoiVTM!$C:$C,0)),"@")="—")),EXACT(TEXT(D65,"@"),TEXT(INDEX(KhoiVTM!$J:$J,MATCH(B65,KhoiVTM!$C:$C,0)),"@"))),FALSE())*1)+(IFERROR(OR(AND(OR(E65="—",E65=""),OR(TEXT(INDEX(KhoiVTM!$M:$M,MATCH(B65,KhoiVTM!$C:$C,0)),"@")="",TEXT(INDEX(KhoiVTM!$M:$M,MATCH(B65,KhoiVTM!$C:$C,0)),"@")="—")),EXACT(TEXT(E65,"@"),TEXT(INDEX(KhoiVTM!$M:$M,MATCH(B65,KhoiVTM!$C:$C,0)),"@"))),FALSE())*1)&gt;=3,"Partial","Mismatch"))),"Not Found")</f>
        <v>Match</v>
      </c>
    </row>
    <row r="66" spans="1:14" x14ac:dyDescent="0.25">
      <c r="A66" s="114">
        <f>KhoiVTM!A66</f>
        <v>65</v>
      </c>
      <c r="B66" s="114" t="str">
        <f>KhoiVTM!C66</f>
        <v>RNCF0603TKY499R</v>
      </c>
      <c r="C66" s="114" t="str">
        <f>KhoiVTM!D66</f>
        <v>RES SMD 499 OHM 0.01% 1/10W 0603</v>
      </c>
      <c r="D66" s="113">
        <v>499</v>
      </c>
      <c r="E66" s="113" t="str">
        <f t="shared" si="6"/>
        <v>0603</v>
      </c>
      <c r="F66" s="114">
        <f>KhoiVTM!F66</f>
        <v>10</v>
      </c>
      <c r="G66" s="114">
        <v>6</v>
      </c>
      <c r="H66" s="114">
        <v>0</v>
      </c>
      <c r="I66" s="114">
        <f t="shared" ref="I66:I97" si="7">F66-H66</f>
        <v>10</v>
      </c>
      <c r="J66" s="58" t="str">
        <f t="shared" ref="J66:J97" si="8">IF(LEFT(C66,3)="RES", "Resistor", IF(LEFT(C66,3)="CAP", "Capacitor", "Other"))</f>
        <v>Resistor</v>
      </c>
      <c r="K66" s="62" t="s">
        <v>299</v>
      </c>
      <c r="L66" s="114" t="s">
        <v>515</v>
      </c>
      <c r="M66" s="56"/>
      <c r="N66" s="57" t="str">
        <f>IFERROR(IF(ISERROR(MATCH(B66,KhoiVTM!$C:$C,0)),"Not Found",IF((EXACT(C66,IFERROR(INDEX(KhoiVTM!$D:$D,MATCH(B66,KhoiVTM!$C:$C,0)),"__NA__"))*1)+(IFERROR(F66=INDEX(KhoiVTM!$F:$F,MATCH(B66,KhoiVTM!$C:$C,0)),FALSE())*1)+(IFERROR(OR(AND(OR(D66="—",D66=""),OR(TEXT(INDEX(KhoiVTM!$J:$J,MATCH(B66,KhoiVTM!$C:$C,0)),"@")="",TEXT(INDEX(KhoiVTM!$J:$J,MATCH(B66,KhoiVTM!$C:$C,0)),"@")="—")),EXACT(TEXT(D66,"@"),TEXT(INDEX(KhoiVTM!$J:$J,MATCH(B66,KhoiVTM!$C:$C,0)),"@"))),FALSE())*1)+(IFERROR(OR(AND(OR(E66="—",E66=""),OR(TEXT(INDEX(KhoiVTM!$M:$M,MATCH(B66,KhoiVTM!$C:$C,0)),"@")="",TEXT(INDEX(KhoiVTM!$M:$M,MATCH(B66,KhoiVTM!$C:$C,0)),"@")="—")),EXACT(TEXT(E66,"@"),TEXT(INDEX(KhoiVTM!$M:$M,MATCH(B66,KhoiVTM!$C:$C,0)),"@"))),FALSE())*1)=4,"Match",IF((EXACT(C66,IFERROR(INDEX(KhoiVTM!$D:$D,MATCH(B66,KhoiVTM!$C:$C,0)),"__NA__"))*1)+(IFERROR(F66=INDEX(KhoiVTM!$F:$F,MATCH(B66,KhoiVTM!$C:$C,0)),FALSE())*1)+(IFERROR(OR(AND(OR(D66="—",D66=""),OR(TEXT(INDEX(KhoiVTM!$J:$J,MATCH(B66,KhoiVTM!$C:$C,0)),"@")="",TEXT(INDEX(KhoiVTM!$J:$J,MATCH(B66,KhoiVTM!$C:$C,0)),"@")="—")),EXACT(TEXT(D66,"@"),TEXT(INDEX(KhoiVTM!$J:$J,MATCH(B66,KhoiVTM!$C:$C,0)),"@"))),FALSE())*1)+(IFERROR(OR(AND(OR(E66="—",E66=""),OR(TEXT(INDEX(KhoiVTM!$M:$M,MATCH(B66,KhoiVTM!$C:$C,0)),"@")="",TEXT(INDEX(KhoiVTM!$M:$M,MATCH(B66,KhoiVTM!$C:$C,0)),"@")="—")),EXACT(TEXT(E66,"@"),TEXT(INDEX(KhoiVTM!$M:$M,MATCH(B66,KhoiVTM!$C:$C,0)),"@"))),FALSE())*1)&gt;=3,"Partial","Mismatch"))),"Not Found")</f>
        <v>Match</v>
      </c>
    </row>
    <row r="67" spans="1:14" x14ac:dyDescent="0.25">
      <c r="A67" s="114">
        <f>KhoiVTM!A67</f>
        <v>66</v>
      </c>
      <c r="B67" s="114" t="str">
        <f>KhoiVTM!C67</f>
        <v>RG2012N-510-W-T1</v>
      </c>
      <c r="C67" s="114" t="str">
        <f>KhoiVTM!D67</f>
        <v>RES SMD 51 OHM 0.05% 1/8W 0805</v>
      </c>
      <c r="D67" s="113">
        <v>51</v>
      </c>
      <c r="E67" s="113" t="str">
        <f t="shared" si="6"/>
        <v>0805</v>
      </c>
      <c r="F67" s="114">
        <f>KhoiVTM!F67</f>
        <v>10</v>
      </c>
      <c r="G67" s="114">
        <v>3</v>
      </c>
      <c r="H67" s="114">
        <v>0</v>
      </c>
      <c r="I67" s="114">
        <f t="shared" si="7"/>
        <v>10</v>
      </c>
      <c r="J67" s="58" t="str">
        <f t="shared" si="8"/>
        <v>Resistor</v>
      </c>
      <c r="K67" s="62" t="s">
        <v>299</v>
      </c>
      <c r="L67" s="114" t="s">
        <v>515</v>
      </c>
      <c r="M67" s="56"/>
      <c r="N67" s="57" t="str">
        <f>IFERROR(IF(ISERROR(MATCH(B67,KhoiVTM!$C:$C,0)),"Not Found",IF((EXACT(C67,IFERROR(INDEX(KhoiVTM!$D:$D,MATCH(B67,KhoiVTM!$C:$C,0)),"__NA__"))*1)+(IFERROR(F67=INDEX(KhoiVTM!$F:$F,MATCH(B67,KhoiVTM!$C:$C,0)),FALSE())*1)+(IFERROR(OR(AND(OR(D67="—",D67=""),OR(TEXT(INDEX(KhoiVTM!$J:$J,MATCH(B67,KhoiVTM!$C:$C,0)),"@")="",TEXT(INDEX(KhoiVTM!$J:$J,MATCH(B67,KhoiVTM!$C:$C,0)),"@")="—")),EXACT(TEXT(D67,"@"),TEXT(INDEX(KhoiVTM!$J:$J,MATCH(B67,KhoiVTM!$C:$C,0)),"@"))),FALSE())*1)+(IFERROR(OR(AND(OR(E67="—",E67=""),OR(TEXT(INDEX(KhoiVTM!$M:$M,MATCH(B67,KhoiVTM!$C:$C,0)),"@")="",TEXT(INDEX(KhoiVTM!$M:$M,MATCH(B67,KhoiVTM!$C:$C,0)),"@")="—")),EXACT(TEXT(E67,"@"),TEXT(INDEX(KhoiVTM!$M:$M,MATCH(B67,KhoiVTM!$C:$C,0)),"@"))),FALSE())*1)=4,"Match",IF((EXACT(C67,IFERROR(INDEX(KhoiVTM!$D:$D,MATCH(B67,KhoiVTM!$C:$C,0)),"__NA__"))*1)+(IFERROR(F67=INDEX(KhoiVTM!$F:$F,MATCH(B67,KhoiVTM!$C:$C,0)),FALSE())*1)+(IFERROR(OR(AND(OR(D67="—",D67=""),OR(TEXT(INDEX(KhoiVTM!$J:$J,MATCH(B67,KhoiVTM!$C:$C,0)),"@")="",TEXT(INDEX(KhoiVTM!$J:$J,MATCH(B67,KhoiVTM!$C:$C,0)),"@")="—")),EXACT(TEXT(D67,"@"),TEXT(INDEX(KhoiVTM!$J:$J,MATCH(B67,KhoiVTM!$C:$C,0)),"@"))),FALSE())*1)+(IFERROR(OR(AND(OR(E67="—",E67=""),OR(TEXT(INDEX(KhoiVTM!$M:$M,MATCH(B67,KhoiVTM!$C:$C,0)),"@")="",TEXT(INDEX(KhoiVTM!$M:$M,MATCH(B67,KhoiVTM!$C:$C,0)),"@")="—")),EXACT(TEXT(E67,"@"),TEXT(INDEX(KhoiVTM!$M:$M,MATCH(B67,KhoiVTM!$C:$C,0)),"@"))),FALSE())*1)&gt;=3,"Partial","Mismatch"))),"Not Found")</f>
        <v>Match</v>
      </c>
    </row>
    <row r="68" spans="1:14" x14ac:dyDescent="0.25">
      <c r="A68" s="114">
        <f>KhoiVTM!A68</f>
        <v>67</v>
      </c>
      <c r="B68" s="114" t="str">
        <f>KhoiVTM!C68</f>
        <v>ERA-3ARW104V</v>
      </c>
      <c r="C68" s="114" t="str">
        <f>KhoiVTM!D68</f>
        <v>RES SMD 100K OHM 0.05% 1/10W 0603</v>
      </c>
      <c r="D68" s="113" t="s">
        <v>534</v>
      </c>
      <c r="E68" s="113" t="str">
        <f t="shared" si="6"/>
        <v>0603</v>
      </c>
      <c r="F68" s="114">
        <f>KhoiVTM!F68</f>
        <v>10</v>
      </c>
      <c r="G68" s="114">
        <v>0</v>
      </c>
      <c r="H68" s="114">
        <v>0</v>
      </c>
      <c r="I68" s="114">
        <f t="shared" si="7"/>
        <v>10</v>
      </c>
      <c r="J68" s="58" t="str">
        <f t="shared" si="8"/>
        <v>Resistor</v>
      </c>
      <c r="K68" s="62" t="s">
        <v>299</v>
      </c>
      <c r="L68" s="114" t="s">
        <v>515</v>
      </c>
      <c r="M68" s="56"/>
      <c r="N68" s="57" t="str">
        <f>IFERROR(IF(ISERROR(MATCH(B68,KhoiVTM!$C:$C,0)),"Not Found",IF((EXACT(C68,IFERROR(INDEX(KhoiVTM!$D:$D,MATCH(B68,KhoiVTM!$C:$C,0)),"__NA__"))*1)+(IFERROR(F68=INDEX(KhoiVTM!$F:$F,MATCH(B68,KhoiVTM!$C:$C,0)),FALSE())*1)+(IFERROR(OR(AND(OR(D68="—",D68=""),OR(TEXT(INDEX(KhoiVTM!$J:$J,MATCH(B68,KhoiVTM!$C:$C,0)),"@")="",TEXT(INDEX(KhoiVTM!$J:$J,MATCH(B68,KhoiVTM!$C:$C,0)),"@")="—")),EXACT(TEXT(D68,"@"),TEXT(INDEX(KhoiVTM!$J:$J,MATCH(B68,KhoiVTM!$C:$C,0)),"@"))),FALSE())*1)+(IFERROR(OR(AND(OR(E68="—",E68=""),OR(TEXT(INDEX(KhoiVTM!$M:$M,MATCH(B68,KhoiVTM!$C:$C,0)),"@")="",TEXT(INDEX(KhoiVTM!$M:$M,MATCH(B68,KhoiVTM!$C:$C,0)),"@")="—")),EXACT(TEXT(E68,"@"),TEXT(INDEX(KhoiVTM!$M:$M,MATCH(B68,KhoiVTM!$C:$C,0)),"@"))),FALSE())*1)=4,"Match",IF((EXACT(C68,IFERROR(INDEX(KhoiVTM!$D:$D,MATCH(B68,KhoiVTM!$C:$C,0)),"__NA__"))*1)+(IFERROR(F68=INDEX(KhoiVTM!$F:$F,MATCH(B68,KhoiVTM!$C:$C,0)),FALSE())*1)+(IFERROR(OR(AND(OR(D68="—",D68=""),OR(TEXT(INDEX(KhoiVTM!$J:$J,MATCH(B68,KhoiVTM!$C:$C,0)),"@")="",TEXT(INDEX(KhoiVTM!$J:$J,MATCH(B68,KhoiVTM!$C:$C,0)),"@")="—")),EXACT(TEXT(D68,"@"),TEXT(INDEX(KhoiVTM!$J:$J,MATCH(B68,KhoiVTM!$C:$C,0)),"@"))),FALSE())*1)+(IFERROR(OR(AND(OR(E68="—",E68=""),OR(TEXT(INDEX(KhoiVTM!$M:$M,MATCH(B68,KhoiVTM!$C:$C,0)),"@")="",TEXT(INDEX(KhoiVTM!$M:$M,MATCH(B68,KhoiVTM!$C:$C,0)),"@")="—")),EXACT(TEXT(E68,"@"),TEXT(INDEX(KhoiVTM!$M:$M,MATCH(B68,KhoiVTM!$C:$C,0)),"@"))),FALSE())*1)&gt;=3,"Partial","Mismatch"))),"Not Found")</f>
        <v>Match</v>
      </c>
    </row>
    <row r="69" spans="1:14" x14ac:dyDescent="0.25">
      <c r="A69" s="114">
        <f>KhoiVTM!A69</f>
        <v>68</v>
      </c>
      <c r="B69" s="114" t="str">
        <f>KhoiVTM!C69</f>
        <v>RG1608N-103-W-T5</v>
      </c>
      <c r="C69" s="114" t="str">
        <f>KhoiVTM!D69</f>
        <v>RES SMD 10K OHM 0.05% 1/10W 0603</v>
      </c>
      <c r="D69" s="113" t="s">
        <v>520</v>
      </c>
      <c r="E69" s="113" t="str">
        <f t="shared" si="6"/>
        <v>0603</v>
      </c>
      <c r="F69" s="114">
        <f>KhoiVTM!F69</f>
        <v>20</v>
      </c>
      <c r="G69" s="114">
        <v>8</v>
      </c>
      <c r="H69" s="114">
        <v>0</v>
      </c>
      <c r="I69" s="114">
        <f t="shared" si="7"/>
        <v>20</v>
      </c>
      <c r="J69" s="58" t="str">
        <f t="shared" si="8"/>
        <v>Resistor</v>
      </c>
      <c r="K69" s="62" t="s">
        <v>299</v>
      </c>
      <c r="L69" s="114" t="s">
        <v>515</v>
      </c>
      <c r="M69" s="56"/>
      <c r="N69" s="57" t="str">
        <f>IFERROR(IF(ISERROR(MATCH(B69,KhoiVTM!$C:$C,0)),"Not Found",IF((EXACT(C69,IFERROR(INDEX(KhoiVTM!$D:$D,MATCH(B69,KhoiVTM!$C:$C,0)),"__NA__"))*1)+(IFERROR(F69=INDEX(KhoiVTM!$F:$F,MATCH(B69,KhoiVTM!$C:$C,0)),FALSE())*1)+(IFERROR(OR(AND(OR(D69="—",D69=""),OR(TEXT(INDEX(KhoiVTM!$J:$J,MATCH(B69,KhoiVTM!$C:$C,0)),"@")="",TEXT(INDEX(KhoiVTM!$J:$J,MATCH(B69,KhoiVTM!$C:$C,0)),"@")="—")),EXACT(TEXT(D69,"@"),TEXT(INDEX(KhoiVTM!$J:$J,MATCH(B69,KhoiVTM!$C:$C,0)),"@"))),FALSE())*1)+(IFERROR(OR(AND(OR(E69="—",E69=""),OR(TEXT(INDEX(KhoiVTM!$M:$M,MATCH(B69,KhoiVTM!$C:$C,0)),"@")="",TEXT(INDEX(KhoiVTM!$M:$M,MATCH(B69,KhoiVTM!$C:$C,0)),"@")="—")),EXACT(TEXT(E69,"@"),TEXT(INDEX(KhoiVTM!$M:$M,MATCH(B69,KhoiVTM!$C:$C,0)),"@"))),FALSE())*1)=4,"Match",IF((EXACT(C69,IFERROR(INDEX(KhoiVTM!$D:$D,MATCH(B69,KhoiVTM!$C:$C,0)),"__NA__"))*1)+(IFERROR(F69=INDEX(KhoiVTM!$F:$F,MATCH(B69,KhoiVTM!$C:$C,0)),FALSE())*1)+(IFERROR(OR(AND(OR(D69="—",D69=""),OR(TEXT(INDEX(KhoiVTM!$J:$J,MATCH(B69,KhoiVTM!$C:$C,0)),"@")="",TEXT(INDEX(KhoiVTM!$J:$J,MATCH(B69,KhoiVTM!$C:$C,0)),"@")="—")),EXACT(TEXT(D69,"@"),TEXT(INDEX(KhoiVTM!$J:$J,MATCH(B69,KhoiVTM!$C:$C,0)),"@"))),FALSE())*1)+(IFERROR(OR(AND(OR(E69="—",E69=""),OR(TEXT(INDEX(KhoiVTM!$M:$M,MATCH(B69,KhoiVTM!$C:$C,0)),"@")="",TEXT(INDEX(KhoiVTM!$M:$M,MATCH(B69,KhoiVTM!$C:$C,0)),"@")="—")),EXACT(TEXT(E69,"@"),TEXT(INDEX(KhoiVTM!$M:$M,MATCH(B69,KhoiVTM!$C:$C,0)),"@"))),FALSE())*1)&gt;=3,"Partial","Mismatch"))),"Not Found")</f>
        <v>Match</v>
      </c>
    </row>
    <row r="70" spans="1:14" x14ac:dyDescent="0.25">
      <c r="A70" s="114">
        <f>KhoiVTM!A70</f>
        <v>69</v>
      </c>
      <c r="B70" s="114" t="str">
        <f>KhoiVTM!C70</f>
        <v>RG1608N-470-W-T1</v>
      </c>
      <c r="C70" s="114" t="str">
        <f>KhoiVTM!D70</f>
        <v>RES SMD 47 OHM 0.05% 1/10W 0603</v>
      </c>
      <c r="D70" s="113">
        <v>47</v>
      </c>
      <c r="E70" s="113" t="str">
        <f t="shared" si="6"/>
        <v>0603</v>
      </c>
      <c r="F70" s="114">
        <f>KhoiVTM!F70</f>
        <v>10</v>
      </c>
      <c r="G70" s="114">
        <v>1</v>
      </c>
      <c r="H70" s="114">
        <v>0</v>
      </c>
      <c r="I70" s="114">
        <f t="shared" si="7"/>
        <v>10</v>
      </c>
      <c r="J70" s="58" t="str">
        <f t="shared" si="8"/>
        <v>Resistor</v>
      </c>
      <c r="K70" s="62" t="s">
        <v>299</v>
      </c>
      <c r="L70" s="114" t="s">
        <v>515</v>
      </c>
      <c r="M70" s="56"/>
      <c r="N70" s="57" t="str">
        <f>IFERROR(IF(ISERROR(MATCH(B70,KhoiVTM!$C:$C,0)),"Not Found",IF((EXACT(C70,IFERROR(INDEX(KhoiVTM!$D:$D,MATCH(B70,KhoiVTM!$C:$C,0)),"__NA__"))*1)+(IFERROR(F70=INDEX(KhoiVTM!$F:$F,MATCH(B70,KhoiVTM!$C:$C,0)),FALSE())*1)+(IFERROR(OR(AND(OR(D70="—",D70=""),OR(TEXT(INDEX(KhoiVTM!$J:$J,MATCH(B70,KhoiVTM!$C:$C,0)),"@")="",TEXT(INDEX(KhoiVTM!$J:$J,MATCH(B70,KhoiVTM!$C:$C,0)),"@")="—")),EXACT(TEXT(D70,"@"),TEXT(INDEX(KhoiVTM!$J:$J,MATCH(B70,KhoiVTM!$C:$C,0)),"@"))),FALSE())*1)+(IFERROR(OR(AND(OR(E70="—",E70=""),OR(TEXT(INDEX(KhoiVTM!$M:$M,MATCH(B70,KhoiVTM!$C:$C,0)),"@")="",TEXT(INDEX(KhoiVTM!$M:$M,MATCH(B70,KhoiVTM!$C:$C,0)),"@")="—")),EXACT(TEXT(E70,"@"),TEXT(INDEX(KhoiVTM!$M:$M,MATCH(B70,KhoiVTM!$C:$C,0)),"@"))),FALSE())*1)=4,"Match",IF((EXACT(C70,IFERROR(INDEX(KhoiVTM!$D:$D,MATCH(B70,KhoiVTM!$C:$C,0)),"__NA__"))*1)+(IFERROR(F70=INDEX(KhoiVTM!$F:$F,MATCH(B70,KhoiVTM!$C:$C,0)),FALSE())*1)+(IFERROR(OR(AND(OR(D70="—",D70=""),OR(TEXT(INDEX(KhoiVTM!$J:$J,MATCH(B70,KhoiVTM!$C:$C,0)),"@")="",TEXT(INDEX(KhoiVTM!$J:$J,MATCH(B70,KhoiVTM!$C:$C,0)),"@")="—")),EXACT(TEXT(D70,"@"),TEXT(INDEX(KhoiVTM!$J:$J,MATCH(B70,KhoiVTM!$C:$C,0)),"@"))),FALSE())*1)+(IFERROR(OR(AND(OR(E70="—",E70=""),OR(TEXT(INDEX(KhoiVTM!$M:$M,MATCH(B70,KhoiVTM!$C:$C,0)),"@")="",TEXT(INDEX(KhoiVTM!$M:$M,MATCH(B70,KhoiVTM!$C:$C,0)),"@")="—")),EXACT(TEXT(E70,"@"),TEXT(INDEX(KhoiVTM!$M:$M,MATCH(B70,KhoiVTM!$C:$C,0)),"@"))),FALSE())*1)&gt;=3,"Partial","Mismatch"))),"Not Found")</f>
        <v>Match</v>
      </c>
    </row>
    <row r="71" spans="1:14" x14ac:dyDescent="0.25">
      <c r="A71" s="114">
        <f>KhoiVTM!A71</f>
        <v>70</v>
      </c>
      <c r="B71" s="114" t="str">
        <f>KhoiVTM!C71</f>
        <v>RNCF0603AKT10R0</v>
      </c>
      <c r="C71" s="114" t="str">
        <f>KhoiVTM!D71</f>
        <v>RES SMD 10 OHM 0.05% 1/10W 0603</v>
      </c>
      <c r="D71" s="113">
        <v>10</v>
      </c>
      <c r="E71" s="113" t="str">
        <f t="shared" si="6"/>
        <v>0603</v>
      </c>
      <c r="F71" s="114">
        <f>KhoiVTM!F71</f>
        <v>15</v>
      </c>
      <c r="G71" s="114">
        <v>0</v>
      </c>
      <c r="H71" s="114">
        <v>0</v>
      </c>
      <c r="I71" s="114">
        <f t="shared" si="7"/>
        <v>15</v>
      </c>
      <c r="J71" s="58" t="str">
        <f t="shared" si="8"/>
        <v>Resistor</v>
      </c>
      <c r="K71" s="62" t="s">
        <v>299</v>
      </c>
      <c r="L71" s="114" t="s">
        <v>515</v>
      </c>
      <c r="M71" s="56"/>
      <c r="N71" s="57" t="str">
        <f>IFERROR(IF(ISERROR(MATCH(B71,KhoiVTM!$C:$C,0)),"Not Found",IF((EXACT(C71,IFERROR(INDEX(KhoiVTM!$D:$D,MATCH(B71,KhoiVTM!$C:$C,0)),"__NA__"))*1)+(IFERROR(F71=INDEX(KhoiVTM!$F:$F,MATCH(B71,KhoiVTM!$C:$C,0)),FALSE())*1)+(IFERROR(OR(AND(OR(D71="—",D71=""),OR(TEXT(INDEX(KhoiVTM!$J:$J,MATCH(B71,KhoiVTM!$C:$C,0)),"@")="",TEXT(INDEX(KhoiVTM!$J:$J,MATCH(B71,KhoiVTM!$C:$C,0)),"@")="—")),EXACT(TEXT(D71,"@"),TEXT(INDEX(KhoiVTM!$J:$J,MATCH(B71,KhoiVTM!$C:$C,0)),"@"))),FALSE())*1)+(IFERROR(OR(AND(OR(E71="—",E71=""),OR(TEXT(INDEX(KhoiVTM!$M:$M,MATCH(B71,KhoiVTM!$C:$C,0)),"@")="",TEXT(INDEX(KhoiVTM!$M:$M,MATCH(B71,KhoiVTM!$C:$C,0)),"@")="—")),EXACT(TEXT(E71,"@"),TEXT(INDEX(KhoiVTM!$M:$M,MATCH(B71,KhoiVTM!$C:$C,0)),"@"))),FALSE())*1)=4,"Match",IF((EXACT(C71,IFERROR(INDEX(KhoiVTM!$D:$D,MATCH(B71,KhoiVTM!$C:$C,0)),"__NA__"))*1)+(IFERROR(F71=INDEX(KhoiVTM!$F:$F,MATCH(B71,KhoiVTM!$C:$C,0)),FALSE())*1)+(IFERROR(OR(AND(OR(D71="—",D71=""),OR(TEXT(INDEX(KhoiVTM!$J:$J,MATCH(B71,KhoiVTM!$C:$C,0)),"@")="",TEXT(INDEX(KhoiVTM!$J:$J,MATCH(B71,KhoiVTM!$C:$C,0)),"@")="—")),EXACT(TEXT(D71,"@"),TEXT(INDEX(KhoiVTM!$J:$J,MATCH(B71,KhoiVTM!$C:$C,0)),"@"))),FALSE())*1)+(IFERROR(OR(AND(OR(E71="—",E71=""),OR(TEXT(INDEX(KhoiVTM!$M:$M,MATCH(B71,KhoiVTM!$C:$C,0)),"@")="",TEXT(INDEX(KhoiVTM!$M:$M,MATCH(B71,KhoiVTM!$C:$C,0)),"@")="—")),EXACT(TEXT(E71,"@"),TEXT(INDEX(KhoiVTM!$M:$M,MATCH(B71,KhoiVTM!$C:$C,0)),"@"))),FALSE())*1)&gt;=3,"Partial","Mismatch"))),"Not Found")</f>
        <v>Match</v>
      </c>
    </row>
    <row r="72" spans="1:14" x14ac:dyDescent="0.25">
      <c r="A72" s="114">
        <f>KhoiVTM!A72</f>
        <v>71</v>
      </c>
      <c r="B72" s="114" t="str">
        <f>KhoiVTM!C72</f>
        <v>GRM1885C1H1R0WA01D</v>
      </c>
      <c r="C72" s="114" t="str">
        <f>KhoiVTM!D72</f>
        <v>CAP CER 1PF 50V C0G/NP0 0603</v>
      </c>
      <c r="D72" s="113" t="s">
        <v>524</v>
      </c>
      <c r="E72" s="113" t="str">
        <f t="shared" si="6"/>
        <v>0603</v>
      </c>
      <c r="F72" s="114">
        <f>KhoiVTM!F72</f>
        <v>25</v>
      </c>
      <c r="G72" s="114">
        <v>0</v>
      </c>
      <c r="H72" s="114">
        <v>0</v>
      </c>
      <c r="I72" s="114">
        <f t="shared" si="7"/>
        <v>25</v>
      </c>
      <c r="J72" s="58" t="str">
        <f t="shared" si="8"/>
        <v>Capacitor</v>
      </c>
      <c r="K72" s="62" t="s">
        <v>299</v>
      </c>
      <c r="L72" s="114" t="s">
        <v>515</v>
      </c>
      <c r="M72" s="56"/>
      <c r="N72" s="57" t="str">
        <f>IFERROR(IF(ISERROR(MATCH(B72,KhoiVTM!$C:$C,0)),"Not Found",IF((EXACT(C72,IFERROR(INDEX(KhoiVTM!$D:$D,MATCH(B72,KhoiVTM!$C:$C,0)),"__NA__"))*1)+(IFERROR(F72=INDEX(KhoiVTM!$F:$F,MATCH(B72,KhoiVTM!$C:$C,0)),FALSE())*1)+(IFERROR(OR(AND(OR(D72="—",D72=""),OR(TEXT(INDEX(KhoiVTM!$J:$J,MATCH(B72,KhoiVTM!$C:$C,0)),"@")="",TEXT(INDEX(KhoiVTM!$J:$J,MATCH(B72,KhoiVTM!$C:$C,0)),"@")="—")),EXACT(TEXT(D72,"@"),TEXT(INDEX(KhoiVTM!$J:$J,MATCH(B72,KhoiVTM!$C:$C,0)),"@"))),FALSE())*1)+(IFERROR(OR(AND(OR(E72="—",E72=""),OR(TEXT(INDEX(KhoiVTM!$M:$M,MATCH(B72,KhoiVTM!$C:$C,0)),"@")="",TEXT(INDEX(KhoiVTM!$M:$M,MATCH(B72,KhoiVTM!$C:$C,0)),"@")="—")),EXACT(TEXT(E72,"@"),TEXT(INDEX(KhoiVTM!$M:$M,MATCH(B72,KhoiVTM!$C:$C,0)),"@"))),FALSE())*1)=4,"Match",IF((EXACT(C72,IFERROR(INDEX(KhoiVTM!$D:$D,MATCH(B72,KhoiVTM!$C:$C,0)),"__NA__"))*1)+(IFERROR(F72=INDEX(KhoiVTM!$F:$F,MATCH(B72,KhoiVTM!$C:$C,0)),FALSE())*1)+(IFERROR(OR(AND(OR(D72="—",D72=""),OR(TEXT(INDEX(KhoiVTM!$J:$J,MATCH(B72,KhoiVTM!$C:$C,0)),"@")="",TEXT(INDEX(KhoiVTM!$J:$J,MATCH(B72,KhoiVTM!$C:$C,0)),"@")="—")),EXACT(TEXT(D72,"@"),TEXT(INDEX(KhoiVTM!$J:$J,MATCH(B72,KhoiVTM!$C:$C,0)),"@"))),FALSE())*1)+(IFERROR(OR(AND(OR(E72="—",E72=""),OR(TEXT(INDEX(KhoiVTM!$M:$M,MATCH(B72,KhoiVTM!$C:$C,0)),"@")="",TEXT(INDEX(KhoiVTM!$M:$M,MATCH(B72,KhoiVTM!$C:$C,0)),"@")="—")),EXACT(TEXT(E72,"@"),TEXT(INDEX(KhoiVTM!$M:$M,MATCH(B72,KhoiVTM!$C:$C,0)),"@"))),FALSE())*1)&gt;=3,"Partial","Mismatch"))),"Not Found")</f>
        <v>Match</v>
      </c>
    </row>
    <row r="73" spans="1:14" x14ac:dyDescent="0.25">
      <c r="A73" s="114">
        <f>KhoiVTM!A73</f>
        <v>72</v>
      </c>
      <c r="B73" s="114" t="str">
        <f>KhoiVTM!C73</f>
        <v>AD8066ARZ-R7</v>
      </c>
      <c r="C73" s="114" t="str">
        <f>KhoiVTM!D73</f>
        <v>IC VOLTAGE FEEDBACK 2 CIRC 8SOIC</v>
      </c>
      <c r="D73" s="113" t="s">
        <v>514</v>
      </c>
      <c r="E73" s="113" t="s">
        <v>514</v>
      </c>
      <c r="F73" s="114">
        <f>KhoiVTM!F73</f>
        <v>4</v>
      </c>
      <c r="G73" s="114">
        <v>3</v>
      </c>
      <c r="H73" s="114">
        <v>0</v>
      </c>
      <c r="I73" s="114">
        <f t="shared" si="7"/>
        <v>4</v>
      </c>
      <c r="J73" s="58" t="str">
        <f t="shared" si="8"/>
        <v>Other</v>
      </c>
      <c r="K73" s="62" t="s">
        <v>299</v>
      </c>
      <c r="L73" s="114" t="s">
        <v>515</v>
      </c>
      <c r="M73" s="56"/>
      <c r="N73" s="57" t="str">
        <f>IFERROR(IF(ISERROR(MATCH(B73,KhoiVTM!$C:$C,0)),"Not Found",IF((EXACT(C73,IFERROR(INDEX(KhoiVTM!$D:$D,MATCH(B73,KhoiVTM!$C:$C,0)),"__NA__"))*1)+(IFERROR(F73=INDEX(KhoiVTM!$F:$F,MATCH(B73,KhoiVTM!$C:$C,0)),FALSE())*1)+(IFERROR(OR(AND(OR(D73="—",D73=""),OR(TEXT(INDEX(KhoiVTM!$J:$J,MATCH(B73,KhoiVTM!$C:$C,0)),"@")="",TEXT(INDEX(KhoiVTM!$J:$J,MATCH(B73,KhoiVTM!$C:$C,0)),"@")="—")),EXACT(TEXT(D73,"@"),TEXT(INDEX(KhoiVTM!$J:$J,MATCH(B73,KhoiVTM!$C:$C,0)),"@"))),FALSE())*1)+(IFERROR(OR(AND(OR(E73="—",E73=""),OR(TEXT(INDEX(KhoiVTM!$M:$M,MATCH(B73,KhoiVTM!$C:$C,0)),"@")="",TEXT(INDEX(KhoiVTM!$M:$M,MATCH(B73,KhoiVTM!$C:$C,0)),"@")="—")),EXACT(TEXT(E73,"@"),TEXT(INDEX(KhoiVTM!$M:$M,MATCH(B73,KhoiVTM!$C:$C,0)),"@"))),FALSE())*1)=4,"Match",IF((EXACT(C73,IFERROR(INDEX(KhoiVTM!$D:$D,MATCH(B73,KhoiVTM!$C:$C,0)),"__NA__"))*1)+(IFERROR(F73=INDEX(KhoiVTM!$F:$F,MATCH(B73,KhoiVTM!$C:$C,0)),FALSE())*1)+(IFERROR(OR(AND(OR(D73="—",D73=""),OR(TEXT(INDEX(KhoiVTM!$J:$J,MATCH(B73,KhoiVTM!$C:$C,0)),"@")="",TEXT(INDEX(KhoiVTM!$J:$J,MATCH(B73,KhoiVTM!$C:$C,0)),"@")="—")),EXACT(TEXT(D73,"@"),TEXT(INDEX(KhoiVTM!$J:$J,MATCH(B73,KhoiVTM!$C:$C,0)),"@"))),FALSE())*1)+(IFERROR(OR(AND(OR(E73="—",E73=""),OR(TEXT(INDEX(KhoiVTM!$M:$M,MATCH(B73,KhoiVTM!$C:$C,0)),"@")="",TEXT(INDEX(KhoiVTM!$M:$M,MATCH(B73,KhoiVTM!$C:$C,0)),"@")="—")),EXACT(TEXT(E73,"@"),TEXT(INDEX(KhoiVTM!$M:$M,MATCH(B73,KhoiVTM!$C:$C,0)),"@"))),FALSE())*1)&gt;=3,"Partial","Mismatch"))),"Not Found")</f>
        <v>Mismatch</v>
      </c>
    </row>
    <row r="74" spans="1:14" x14ac:dyDescent="0.25">
      <c r="A74" s="114">
        <f>KhoiVTM!A74</f>
        <v>73</v>
      </c>
      <c r="B74" s="114" t="str">
        <f>KhoiVTM!C74</f>
        <v>ADP2303ARDZ-5.0-R7</v>
      </c>
      <c r="C74" s="114" t="str">
        <f>KhoiVTM!D74</f>
        <v>IC REG BUCK 5V 3A 8SOIC</v>
      </c>
      <c r="D74" s="113" t="s">
        <v>514</v>
      </c>
      <c r="E74" s="113" t="s">
        <v>514</v>
      </c>
      <c r="F74" s="114">
        <f>KhoiVTM!F74</f>
        <v>3</v>
      </c>
      <c r="G74" s="114">
        <v>0</v>
      </c>
      <c r="H74" s="114">
        <v>0</v>
      </c>
      <c r="I74" s="114">
        <f t="shared" si="7"/>
        <v>3</v>
      </c>
      <c r="J74" s="58" t="str">
        <f t="shared" si="8"/>
        <v>Other</v>
      </c>
      <c r="K74" s="62" t="s">
        <v>299</v>
      </c>
      <c r="L74" s="114" t="s">
        <v>515</v>
      </c>
      <c r="M74" s="56"/>
      <c r="N74" s="57" t="str">
        <f>IFERROR(IF(ISERROR(MATCH(B74,KhoiVTM!$C:$C,0)),"Not Found",IF((EXACT(C74,IFERROR(INDEX(KhoiVTM!$D:$D,MATCH(B74,KhoiVTM!$C:$C,0)),"__NA__"))*1)+(IFERROR(F74=INDEX(KhoiVTM!$F:$F,MATCH(B74,KhoiVTM!$C:$C,0)),FALSE())*1)+(IFERROR(OR(AND(OR(D74="—",D74=""),OR(TEXT(INDEX(KhoiVTM!$J:$J,MATCH(B74,KhoiVTM!$C:$C,0)),"@")="",TEXT(INDEX(KhoiVTM!$J:$J,MATCH(B74,KhoiVTM!$C:$C,0)),"@")="—")),EXACT(TEXT(D74,"@"),TEXT(INDEX(KhoiVTM!$J:$J,MATCH(B74,KhoiVTM!$C:$C,0)),"@"))),FALSE())*1)+(IFERROR(OR(AND(OR(E74="—",E74=""),OR(TEXT(INDEX(KhoiVTM!$M:$M,MATCH(B74,KhoiVTM!$C:$C,0)),"@")="",TEXT(INDEX(KhoiVTM!$M:$M,MATCH(B74,KhoiVTM!$C:$C,0)),"@")="—")),EXACT(TEXT(E74,"@"),TEXT(INDEX(KhoiVTM!$M:$M,MATCH(B74,KhoiVTM!$C:$C,0)),"@"))),FALSE())*1)=4,"Match",IF((EXACT(C74,IFERROR(INDEX(KhoiVTM!$D:$D,MATCH(B74,KhoiVTM!$C:$C,0)),"__NA__"))*1)+(IFERROR(F74=INDEX(KhoiVTM!$F:$F,MATCH(B74,KhoiVTM!$C:$C,0)),FALSE())*1)+(IFERROR(OR(AND(OR(D74="—",D74=""),OR(TEXT(INDEX(KhoiVTM!$J:$J,MATCH(B74,KhoiVTM!$C:$C,0)),"@")="",TEXT(INDEX(KhoiVTM!$J:$J,MATCH(B74,KhoiVTM!$C:$C,0)),"@")="—")),EXACT(TEXT(D74,"@"),TEXT(INDEX(KhoiVTM!$J:$J,MATCH(B74,KhoiVTM!$C:$C,0)),"@"))),FALSE())*1)+(IFERROR(OR(AND(OR(E74="—",E74=""),OR(TEXT(INDEX(KhoiVTM!$M:$M,MATCH(B74,KhoiVTM!$C:$C,0)),"@")="",TEXT(INDEX(KhoiVTM!$M:$M,MATCH(B74,KhoiVTM!$C:$C,0)),"@")="—")),EXACT(TEXT(E74,"@"),TEXT(INDEX(KhoiVTM!$M:$M,MATCH(B74,KhoiVTM!$C:$C,0)),"@"))),FALSE())*1)&gt;=3,"Partial","Mismatch"))),"Not Found")</f>
        <v>Mismatch</v>
      </c>
    </row>
    <row r="75" spans="1:14" x14ac:dyDescent="0.25">
      <c r="A75" s="114">
        <f>KhoiVTM!A75</f>
        <v>74</v>
      </c>
      <c r="B75" s="114" t="str">
        <f>KhoiVTM!C75</f>
        <v>ADP7118AUJZ-3.3-R7</v>
      </c>
      <c r="C75" s="114" t="str">
        <f>KhoiVTM!D75</f>
        <v>IC REG LIN 3.3V 200MA TSOT-23-5</v>
      </c>
      <c r="D75" s="113" t="s">
        <v>514</v>
      </c>
      <c r="E75" s="113" t="s">
        <v>514</v>
      </c>
      <c r="F75" s="114">
        <f>KhoiVTM!F75</f>
        <v>3</v>
      </c>
      <c r="G75" s="114">
        <v>0</v>
      </c>
      <c r="H75" s="114">
        <v>0</v>
      </c>
      <c r="I75" s="114">
        <f t="shared" si="7"/>
        <v>3</v>
      </c>
      <c r="J75" s="58" t="str">
        <f t="shared" si="8"/>
        <v>Other</v>
      </c>
      <c r="K75" s="62" t="s">
        <v>299</v>
      </c>
      <c r="L75" s="114" t="s">
        <v>515</v>
      </c>
      <c r="M75" s="56"/>
      <c r="N75" s="57" t="str">
        <f>IFERROR(IF(ISERROR(MATCH(B75,KhoiVTM!$C:$C,0)),"Not Found",IF((EXACT(C75,IFERROR(INDEX(KhoiVTM!$D:$D,MATCH(B75,KhoiVTM!$C:$C,0)),"__NA__"))*1)+(IFERROR(F75=INDEX(KhoiVTM!$F:$F,MATCH(B75,KhoiVTM!$C:$C,0)),FALSE())*1)+(IFERROR(OR(AND(OR(D75="—",D75=""),OR(TEXT(INDEX(KhoiVTM!$J:$J,MATCH(B75,KhoiVTM!$C:$C,0)),"@")="",TEXT(INDEX(KhoiVTM!$J:$J,MATCH(B75,KhoiVTM!$C:$C,0)),"@")="—")),EXACT(TEXT(D75,"@"),TEXT(INDEX(KhoiVTM!$J:$J,MATCH(B75,KhoiVTM!$C:$C,0)),"@"))),FALSE())*1)+(IFERROR(OR(AND(OR(E75="—",E75=""),OR(TEXT(INDEX(KhoiVTM!$M:$M,MATCH(B75,KhoiVTM!$C:$C,0)),"@")="",TEXT(INDEX(KhoiVTM!$M:$M,MATCH(B75,KhoiVTM!$C:$C,0)),"@")="—")),EXACT(TEXT(E75,"@"),TEXT(INDEX(KhoiVTM!$M:$M,MATCH(B75,KhoiVTM!$C:$C,0)),"@"))),FALSE())*1)=4,"Match",IF((EXACT(C75,IFERROR(INDEX(KhoiVTM!$D:$D,MATCH(B75,KhoiVTM!$C:$C,0)),"__NA__"))*1)+(IFERROR(F75=INDEX(KhoiVTM!$F:$F,MATCH(B75,KhoiVTM!$C:$C,0)),FALSE())*1)+(IFERROR(OR(AND(OR(D75="—",D75=""),OR(TEXT(INDEX(KhoiVTM!$J:$J,MATCH(B75,KhoiVTM!$C:$C,0)),"@")="",TEXT(INDEX(KhoiVTM!$J:$J,MATCH(B75,KhoiVTM!$C:$C,0)),"@")="—")),EXACT(TEXT(D75,"@"),TEXT(INDEX(KhoiVTM!$J:$J,MATCH(B75,KhoiVTM!$C:$C,0)),"@"))),FALSE())*1)+(IFERROR(OR(AND(OR(E75="—",E75=""),OR(TEXT(INDEX(KhoiVTM!$M:$M,MATCH(B75,KhoiVTM!$C:$C,0)),"@")="",TEXT(INDEX(KhoiVTM!$M:$M,MATCH(B75,KhoiVTM!$C:$C,0)),"@")="—")),EXACT(TEXT(E75,"@"),TEXT(INDEX(KhoiVTM!$M:$M,MATCH(B75,KhoiVTM!$C:$C,0)),"@"))),FALSE())*1)&gt;=3,"Partial","Mismatch"))),"Not Found")</f>
        <v>Mismatch</v>
      </c>
    </row>
    <row r="76" spans="1:14" x14ac:dyDescent="0.25">
      <c r="A76" s="114">
        <f>KhoiVTM!A76</f>
        <v>75</v>
      </c>
      <c r="B76" s="114" t="str">
        <f>KhoiVTM!C76</f>
        <v>KGM15ACG1H102FT</v>
      </c>
      <c r="C76" s="114" t="str">
        <f>KhoiVTM!D76</f>
        <v>CAP CER 1000PF 50V C0G/NP0 0603</v>
      </c>
      <c r="D76" s="113" t="s">
        <v>545</v>
      </c>
      <c r="E76" s="113" t="str">
        <f t="shared" ref="E76:E81" si="9">RIGHT(TRIM(C76), 4)</f>
        <v>0603</v>
      </c>
      <c r="F76" s="114">
        <f>KhoiVTM!F76</f>
        <v>10</v>
      </c>
      <c r="G76" s="114">
        <v>3</v>
      </c>
      <c r="H76" s="114">
        <v>0</v>
      </c>
      <c r="I76" s="114">
        <f t="shared" si="7"/>
        <v>10</v>
      </c>
      <c r="J76" s="58" t="str">
        <f t="shared" si="8"/>
        <v>Capacitor</v>
      </c>
      <c r="K76" s="62" t="s">
        <v>299</v>
      </c>
      <c r="L76" s="114" t="s">
        <v>515</v>
      </c>
      <c r="M76" s="56"/>
      <c r="N76" s="57" t="str">
        <f>IFERROR(IF(ISERROR(MATCH(B76,KhoiVTM!$C:$C,0)),"Not Found",IF((EXACT(C76,IFERROR(INDEX(KhoiVTM!$D:$D,MATCH(B76,KhoiVTM!$C:$C,0)),"__NA__"))*1)+(IFERROR(F76=INDEX(KhoiVTM!$F:$F,MATCH(B76,KhoiVTM!$C:$C,0)),FALSE())*1)+(IFERROR(OR(AND(OR(D76="—",D76=""),OR(TEXT(INDEX(KhoiVTM!$J:$J,MATCH(B76,KhoiVTM!$C:$C,0)),"@")="",TEXT(INDEX(KhoiVTM!$J:$J,MATCH(B76,KhoiVTM!$C:$C,0)),"@")="—")),EXACT(TEXT(D76,"@"),TEXT(INDEX(KhoiVTM!$J:$J,MATCH(B76,KhoiVTM!$C:$C,0)),"@"))),FALSE())*1)+(IFERROR(OR(AND(OR(E76="—",E76=""),OR(TEXT(INDEX(KhoiVTM!$M:$M,MATCH(B76,KhoiVTM!$C:$C,0)),"@")="",TEXT(INDEX(KhoiVTM!$M:$M,MATCH(B76,KhoiVTM!$C:$C,0)),"@")="—")),EXACT(TEXT(E76,"@"),TEXT(INDEX(KhoiVTM!$M:$M,MATCH(B76,KhoiVTM!$C:$C,0)),"@"))),FALSE())*1)=4,"Match",IF((EXACT(C76,IFERROR(INDEX(KhoiVTM!$D:$D,MATCH(B76,KhoiVTM!$C:$C,0)),"__NA__"))*1)+(IFERROR(F76=INDEX(KhoiVTM!$F:$F,MATCH(B76,KhoiVTM!$C:$C,0)),FALSE())*1)+(IFERROR(OR(AND(OR(D76="—",D76=""),OR(TEXT(INDEX(KhoiVTM!$J:$J,MATCH(B76,KhoiVTM!$C:$C,0)),"@")="",TEXT(INDEX(KhoiVTM!$J:$J,MATCH(B76,KhoiVTM!$C:$C,0)),"@")="—")),EXACT(TEXT(D76,"@"),TEXT(INDEX(KhoiVTM!$J:$J,MATCH(B76,KhoiVTM!$C:$C,0)),"@"))),FALSE())*1)+(IFERROR(OR(AND(OR(E76="—",E76=""),OR(TEXT(INDEX(KhoiVTM!$M:$M,MATCH(B76,KhoiVTM!$C:$C,0)),"@")="",TEXT(INDEX(KhoiVTM!$M:$M,MATCH(B76,KhoiVTM!$C:$C,0)),"@")="—")),EXACT(TEXT(E76,"@"),TEXT(INDEX(KhoiVTM!$M:$M,MATCH(B76,KhoiVTM!$C:$C,0)),"@"))),FALSE())*1)&gt;=3,"Partial","Mismatch"))),"Not Found")</f>
        <v>Match</v>
      </c>
    </row>
    <row r="77" spans="1:14" x14ac:dyDescent="0.25">
      <c r="A77" s="114">
        <f>KhoiVTM!A77</f>
        <v>76</v>
      </c>
      <c r="B77" s="114" t="str">
        <f>KhoiVTM!C77</f>
        <v>RN73R1JTTD22R0B25</v>
      </c>
      <c r="C77" s="114" t="str">
        <f>KhoiVTM!D77</f>
        <v>RES 22 OHM 0.1% 1/10W 0603</v>
      </c>
      <c r="D77" s="113">
        <v>22</v>
      </c>
      <c r="E77" s="113" t="str">
        <f t="shared" si="9"/>
        <v>0603</v>
      </c>
      <c r="F77" s="114">
        <f>KhoiVTM!F77</f>
        <v>10</v>
      </c>
      <c r="G77" s="114">
        <v>3</v>
      </c>
      <c r="H77" s="114">
        <v>0</v>
      </c>
      <c r="I77" s="114">
        <f t="shared" si="7"/>
        <v>10</v>
      </c>
      <c r="J77" s="58" t="str">
        <f t="shared" si="8"/>
        <v>Resistor</v>
      </c>
      <c r="K77" s="62" t="s">
        <v>299</v>
      </c>
      <c r="L77" s="114" t="s">
        <v>515</v>
      </c>
      <c r="M77" s="56"/>
      <c r="N77" s="57" t="str">
        <f>IFERROR(IF(ISERROR(MATCH(B77,KhoiVTM!$C:$C,0)),"Not Found",IF((EXACT(C77,IFERROR(INDEX(KhoiVTM!$D:$D,MATCH(B77,KhoiVTM!$C:$C,0)),"__NA__"))*1)+(IFERROR(F77=INDEX(KhoiVTM!$F:$F,MATCH(B77,KhoiVTM!$C:$C,0)),FALSE())*1)+(IFERROR(OR(AND(OR(D77="—",D77=""),OR(TEXT(INDEX(KhoiVTM!$J:$J,MATCH(B77,KhoiVTM!$C:$C,0)),"@")="",TEXT(INDEX(KhoiVTM!$J:$J,MATCH(B77,KhoiVTM!$C:$C,0)),"@")="—")),EXACT(TEXT(D77,"@"),TEXT(INDEX(KhoiVTM!$J:$J,MATCH(B77,KhoiVTM!$C:$C,0)),"@"))),FALSE())*1)+(IFERROR(OR(AND(OR(E77="—",E77=""),OR(TEXT(INDEX(KhoiVTM!$M:$M,MATCH(B77,KhoiVTM!$C:$C,0)),"@")="",TEXT(INDEX(KhoiVTM!$M:$M,MATCH(B77,KhoiVTM!$C:$C,0)),"@")="—")),EXACT(TEXT(E77,"@"),TEXT(INDEX(KhoiVTM!$M:$M,MATCH(B77,KhoiVTM!$C:$C,0)),"@"))),FALSE())*1)=4,"Match",IF((EXACT(C77,IFERROR(INDEX(KhoiVTM!$D:$D,MATCH(B77,KhoiVTM!$C:$C,0)),"__NA__"))*1)+(IFERROR(F77=INDEX(KhoiVTM!$F:$F,MATCH(B77,KhoiVTM!$C:$C,0)),FALSE())*1)+(IFERROR(OR(AND(OR(D77="—",D77=""),OR(TEXT(INDEX(KhoiVTM!$J:$J,MATCH(B77,KhoiVTM!$C:$C,0)),"@")="",TEXT(INDEX(KhoiVTM!$J:$J,MATCH(B77,KhoiVTM!$C:$C,0)),"@")="—")),EXACT(TEXT(D77,"@"),TEXT(INDEX(KhoiVTM!$J:$J,MATCH(B77,KhoiVTM!$C:$C,0)),"@"))),FALSE())*1)+(IFERROR(OR(AND(OR(E77="—",E77=""),OR(TEXT(INDEX(KhoiVTM!$M:$M,MATCH(B77,KhoiVTM!$C:$C,0)),"@")="",TEXT(INDEX(KhoiVTM!$M:$M,MATCH(B77,KhoiVTM!$C:$C,0)),"@")="—")),EXACT(TEXT(E77,"@"),TEXT(INDEX(KhoiVTM!$M:$M,MATCH(B77,KhoiVTM!$C:$C,0)),"@"))),FALSE())*1)&gt;=3,"Partial","Mismatch"))),"Not Found")</f>
        <v>Match</v>
      </c>
    </row>
    <row r="78" spans="1:14" x14ac:dyDescent="0.25">
      <c r="A78" s="114">
        <f>KhoiVTM!A78</f>
        <v>77</v>
      </c>
      <c r="B78" s="114" t="str">
        <f>KhoiVTM!C78</f>
        <v>GCM1885C2A561FA16D</v>
      </c>
      <c r="C78" s="114" t="str">
        <f>KhoiVTM!D78</f>
        <v>CAP CER 560PF 100V C0G/NP0 0603</v>
      </c>
      <c r="D78" s="113" t="s">
        <v>546</v>
      </c>
      <c r="E78" s="113" t="str">
        <f t="shared" si="9"/>
        <v>0603</v>
      </c>
      <c r="F78" s="114">
        <f>KhoiVTM!F78</f>
        <v>25</v>
      </c>
      <c r="G78" s="114">
        <v>0</v>
      </c>
      <c r="H78" s="114">
        <v>0</v>
      </c>
      <c r="I78" s="114">
        <f t="shared" si="7"/>
        <v>25</v>
      </c>
      <c r="J78" s="58" t="str">
        <f t="shared" si="8"/>
        <v>Capacitor</v>
      </c>
      <c r="K78" s="62" t="s">
        <v>299</v>
      </c>
      <c r="L78" s="197" t="s">
        <v>356</v>
      </c>
      <c r="M78" s="56"/>
      <c r="N78" s="57" t="str">
        <f>IFERROR(IF(ISERROR(MATCH(B78,KhoiVTM!$C:$C,0)),"Not Found",IF((EXACT(C78,IFERROR(INDEX(KhoiVTM!$D:$D,MATCH(B78,KhoiVTM!$C:$C,0)),"__NA__"))*1)+(IFERROR(F78=INDEX(KhoiVTM!$F:$F,MATCH(B78,KhoiVTM!$C:$C,0)),FALSE())*1)+(IFERROR(OR(AND(OR(D78="—",D78=""),OR(TEXT(INDEX(KhoiVTM!$J:$J,MATCH(B78,KhoiVTM!$C:$C,0)),"@")="",TEXT(INDEX(KhoiVTM!$J:$J,MATCH(B78,KhoiVTM!$C:$C,0)),"@")="—")),EXACT(TEXT(D78,"@"),TEXT(INDEX(KhoiVTM!$J:$J,MATCH(B78,KhoiVTM!$C:$C,0)),"@"))),FALSE())*1)+(IFERROR(OR(AND(OR(E78="—",E78=""),OR(TEXT(INDEX(KhoiVTM!$M:$M,MATCH(B78,KhoiVTM!$C:$C,0)),"@")="",TEXT(INDEX(KhoiVTM!$M:$M,MATCH(B78,KhoiVTM!$C:$C,0)),"@")="—")),EXACT(TEXT(E78,"@"),TEXT(INDEX(KhoiVTM!$M:$M,MATCH(B78,KhoiVTM!$C:$C,0)),"@"))),FALSE())*1)=4,"Match",IF((EXACT(C78,IFERROR(INDEX(KhoiVTM!$D:$D,MATCH(B78,KhoiVTM!$C:$C,0)),"__NA__"))*1)+(IFERROR(F78=INDEX(KhoiVTM!$F:$F,MATCH(B78,KhoiVTM!$C:$C,0)),FALSE())*1)+(IFERROR(OR(AND(OR(D78="—",D78=""),OR(TEXT(INDEX(KhoiVTM!$J:$J,MATCH(B78,KhoiVTM!$C:$C,0)),"@")="",TEXT(INDEX(KhoiVTM!$J:$J,MATCH(B78,KhoiVTM!$C:$C,0)),"@")="—")),EXACT(TEXT(D78,"@"),TEXT(INDEX(KhoiVTM!$J:$J,MATCH(B78,KhoiVTM!$C:$C,0)),"@"))),FALSE())*1)+(IFERROR(OR(AND(OR(E78="—",E78=""),OR(TEXT(INDEX(KhoiVTM!$M:$M,MATCH(B78,KhoiVTM!$C:$C,0)),"@")="",TEXT(INDEX(KhoiVTM!$M:$M,MATCH(B78,KhoiVTM!$C:$C,0)),"@")="—")),EXACT(TEXT(E78,"@"),TEXT(INDEX(KhoiVTM!$M:$M,MATCH(B78,KhoiVTM!$C:$C,0)),"@"))),FALSE())*1)&gt;=3,"Partial","Mismatch"))),"Not Found")</f>
        <v>Match</v>
      </c>
    </row>
    <row r="79" spans="1:14" x14ac:dyDescent="0.25">
      <c r="A79" s="114">
        <f>KhoiVTM!A79</f>
        <v>78</v>
      </c>
      <c r="B79" s="114" t="str">
        <f>KhoiVTM!C79</f>
        <v>C0603C161F5GACTU</v>
      </c>
      <c r="C79" s="114" t="str">
        <f>KhoiVTM!D79</f>
        <v>CAP CER 160PF 50V C0G/NP0 0603</v>
      </c>
      <c r="D79" s="113" t="s">
        <v>547</v>
      </c>
      <c r="E79" s="113" t="str">
        <f t="shared" si="9"/>
        <v>0603</v>
      </c>
      <c r="F79" s="114">
        <f>KhoiVTM!F79</f>
        <v>20</v>
      </c>
      <c r="G79" s="114">
        <v>0</v>
      </c>
      <c r="H79" s="114">
        <v>0</v>
      </c>
      <c r="I79" s="114">
        <f t="shared" si="7"/>
        <v>20</v>
      </c>
      <c r="J79" s="58" t="str">
        <f t="shared" si="8"/>
        <v>Capacitor</v>
      </c>
      <c r="K79" s="62" t="s">
        <v>299</v>
      </c>
      <c r="L79" s="197"/>
      <c r="M79" s="56"/>
      <c r="N79" s="57" t="str">
        <f>IFERROR(IF(ISERROR(MATCH(B79,KhoiVTM!$C:$C,0)),"Not Found",IF((EXACT(C79,IFERROR(INDEX(KhoiVTM!$D:$D,MATCH(B79,KhoiVTM!$C:$C,0)),"__NA__"))*1)+(IFERROR(F79=INDEX(KhoiVTM!$F:$F,MATCH(B79,KhoiVTM!$C:$C,0)),FALSE())*1)+(IFERROR(OR(AND(OR(D79="—",D79=""),OR(TEXT(INDEX(KhoiVTM!$J:$J,MATCH(B79,KhoiVTM!$C:$C,0)),"@")="",TEXT(INDEX(KhoiVTM!$J:$J,MATCH(B79,KhoiVTM!$C:$C,0)),"@")="—")),EXACT(TEXT(D79,"@"),TEXT(INDEX(KhoiVTM!$J:$J,MATCH(B79,KhoiVTM!$C:$C,0)),"@"))),FALSE())*1)+(IFERROR(OR(AND(OR(E79="—",E79=""),OR(TEXT(INDEX(KhoiVTM!$M:$M,MATCH(B79,KhoiVTM!$C:$C,0)),"@")="",TEXT(INDEX(KhoiVTM!$M:$M,MATCH(B79,KhoiVTM!$C:$C,0)),"@")="—")),EXACT(TEXT(E79,"@"),TEXT(INDEX(KhoiVTM!$M:$M,MATCH(B79,KhoiVTM!$C:$C,0)),"@"))),FALSE())*1)=4,"Match",IF((EXACT(C79,IFERROR(INDEX(KhoiVTM!$D:$D,MATCH(B79,KhoiVTM!$C:$C,0)),"__NA__"))*1)+(IFERROR(F79=INDEX(KhoiVTM!$F:$F,MATCH(B79,KhoiVTM!$C:$C,0)),FALSE())*1)+(IFERROR(OR(AND(OR(D79="—",D79=""),OR(TEXT(INDEX(KhoiVTM!$J:$J,MATCH(B79,KhoiVTM!$C:$C,0)),"@")="",TEXT(INDEX(KhoiVTM!$J:$J,MATCH(B79,KhoiVTM!$C:$C,0)),"@")="—")),EXACT(TEXT(D79,"@"),TEXT(INDEX(KhoiVTM!$J:$J,MATCH(B79,KhoiVTM!$C:$C,0)),"@"))),FALSE())*1)+(IFERROR(OR(AND(OR(E79="—",E79=""),OR(TEXT(INDEX(KhoiVTM!$M:$M,MATCH(B79,KhoiVTM!$C:$C,0)),"@")="",TEXT(INDEX(KhoiVTM!$M:$M,MATCH(B79,KhoiVTM!$C:$C,0)),"@")="—")),EXACT(TEXT(E79,"@"),TEXT(INDEX(KhoiVTM!$M:$M,MATCH(B79,KhoiVTM!$C:$C,0)),"@"))),FALSE())*1)&gt;=3,"Partial","Mismatch"))),"Not Found")</f>
        <v>Match</v>
      </c>
    </row>
    <row r="80" spans="1:14" x14ac:dyDescent="0.25">
      <c r="A80" s="114">
        <f>KhoiVTM!A80</f>
        <v>79</v>
      </c>
      <c r="B80" s="114" t="str">
        <f>KhoiVTM!C80</f>
        <v>CC0603FRNPO9BN390</v>
      </c>
      <c r="C80" s="114" t="str">
        <f>KhoiVTM!D80</f>
        <v>CAP CER 39PF 50V C0G/NPO 0603</v>
      </c>
      <c r="D80" s="113" t="s">
        <v>548</v>
      </c>
      <c r="E80" s="113" t="str">
        <f t="shared" si="9"/>
        <v>0603</v>
      </c>
      <c r="F80" s="114">
        <f>KhoiVTM!F80</f>
        <v>10</v>
      </c>
      <c r="G80" s="114">
        <v>1</v>
      </c>
      <c r="H80" s="114">
        <v>0</v>
      </c>
      <c r="I80" s="114">
        <f t="shared" si="7"/>
        <v>10</v>
      </c>
      <c r="J80" s="58" t="str">
        <f t="shared" si="8"/>
        <v>Capacitor</v>
      </c>
      <c r="K80" s="62" t="s">
        <v>299</v>
      </c>
      <c r="L80" s="114" t="s">
        <v>515</v>
      </c>
      <c r="M80" s="56"/>
      <c r="N80" s="57" t="str">
        <f>IFERROR(IF(ISERROR(MATCH(B80,KhoiVTM!$C:$C,0)),"Not Found",IF((EXACT(C80,IFERROR(INDEX(KhoiVTM!$D:$D,MATCH(B80,KhoiVTM!$C:$C,0)),"__NA__"))*1)+(IFERROR(F80=INDEX(KhoiVTM!$F:$F,MATCH(B80,KhoiVTM!$C:$C,0)),FALSE())*1)+(IFERROR(OR(AND(OR(D80="—",D80=""),OR(TEXT(INDEX(KhoiVTM!$J:$J,MATCH(B80,KhoiVTM!$C:$C,0)),"@")="",TEXT(INDEX(KhoiVTM!$J:$J,MATCH(B80,KhoiVTM!$C:$C,0)),"@")="—")),EXACT(TEXT(D80,"@"),TEXT(INDEX(KhoiVTM!$J:$J,MATCH(B80,KhoiVTM!$C:$C,0)),"@"))),FALSE())*1)+(IFERROR(OR(AND(OR(E80="—",E80=""),OR(TEXT(INDEX(KhoiVTM!$M:$M,MATCH(B80,KhoiVTM!$C:$C,0)),"@")="",TEXT(INDEX(KhoiVTM!$M:$M,MATCH(B80,KhoiVTM!$C:$C,0)),"@")="—")),EXACT(TEXT(E80,"@"),TEXT(INDEX(KhoiVTM!$M:$M,MATCH(B80,KhoiVTM!$C:$C,0)),"@"))),FALSE())*1)=4,"Match",IF((EXACT(C80,IFERROR(INDEX(KhoiVTM!$D:$D,MATCH(B80,KhoiVTM!$C:$C,0)),"__NA__"))*1)+(IFERROR(F80=INDEX(KhoiVTM!$F:$F,MATCH(B80,KhoiVTM!$C:$C,0)),FALSE())*1)+(IFERROR(OR(AND(OR(D80="—",D80=""),OR(TEXT(INDEX(KhoiVTM!$J:$J,MATCH(B80,KhoiVTM!$C:$C,0)),"@")="",TEXT(INDEX(KhoiVTM!$J:$J,MATCH(B80,KhoiVTM!$C:$C,0)),"@")="—")),EXACT(TEXT(D80,"@"),TEXT(INDEX(KhoiVTM!$J:$J,MATCH(B80,KhoiVTM!$C:$C,0)),"@"))),FALSE())*1)+(IFERROR(OR(AND(OR(E80="—",E80=""),OR(TEXT(INDEX(KhoiVTM!$M:$M,MATCH(B80,KhoiVTM!$C:$C,0)),"@")="",TEXT(INDEX(KhoiVTM!$M:$M,MATCH(B80,KhoiVTM!$C:$C,0)),"@")="—")),EXACT(TEXT(E80,"@"),TEXT(INDEX(KhoiVTM!$M:$M,MATCH(B80,KhoiVTM!$C:$C,0)),"@"))),FALSE())*1)&gt;=3,"Partial","Mismatch"))),"Not Found")</f>
        <v>Match</v>
      </c>
    </row>
    <row r="81" spans="1:14" x14ac:dyDescent="0.25">
      <c r="A81" s="114">
        <f>KhoiVTM!A81</f>
        <v>80</v>
      </c>
      <c r="B81" s="114" t="str">
        <f>KhoiVTM!C81</f>
        <v>C0603C681F5GACTU</v>
      </c>
      <c r="C81" s="114" t="str">
        <f>KhoiVTM!D81</f>
        <v>CAP CER 680PF 50V C0G/NP0 0603</v>
      </c>
      <c r="D81" s="113" t="s">
        <v>549</v>
      </c>
      <c r="E81" s="113" t="str">
        <f t="shared" si="9"/>
        <v>0603</v>
      </c>
      <c r="F81" s="114">
        <f>KhoiVTM!F81</f>
        <v>10</v>
      </c>
      <c r="G81" s="114">
        <v>2</v>
      </c>
      <c r="H81" s="114">
        <v>0</v>
      </c>
      <c r="I81" s="114">
        <f t="shared" si="7"/>
        <v>10</v>
      </c>
      <c r="J81" s="58" t="str">
        <f t="shared" si="8"/>
        <v>Capacitor</v>
      </c>
      <c r="K81" s="62" t="s">
        <v>299</v>
      </c>
      <c r="L81" s="114" t="s">
        <v>515</v>
      </c>
      <c r="M81" s="56"/>
      <c r="N81" s="57" t="str">
        <f>IFERROR(IF(ISERROR(MATCH(B81,KhoiVTM!$C:$C,0)),"Not Found",IF((EXACT(C81,IFERROR(INDEX(KhoiVTM!$D:$D,MATCH(B81,KhoiVTM!$C:$C,0)),"__NA__"))*1)+(IFERROR(F81=INDEX(KhoiVTM!$F:$F,MATCH(B81,KhoiVTM!$C:$C,0)),FALSE())*1)+(IFERROR(OR(AND(OR(D81="—",D81=""),OR(TEXT(INDEX(KhoiVTM!$J:$J,MATCH(B81,KhoiVTM!$C:$C,0)),"@")="",TEXT(INDEX(KhoiVTM!$J:$J,MATCH(B81,KhoiVTM!$C:$C,0)),"@")="—")),EXACT(TEXT(D81,"@"),TEXT(INDEX(KhoiVTM!$J:$J,MATCH(B81,KhoiVTM!$C:$C,0)),"@"))),FALSE())*1)+(IFERROR(OR(AND(OR(E81="—",E81=""),OR(TEXT(INDEX(KhoiVTM!$M:$M,MATCH(B81,KhoiVTM!$C:$C,0)),"@")="",TEXT(INDEX(KhoiVTM!$M:$M,MATCH(B81,KhoiVTM!$C:$C,0)),"@")="—")),EXACT(TEXT(E81,"@"),TEXT(INDEX(KhoiVTM!$M:$M,MATCH(B81,KhoiVTM!$C:$C,0)),"@"))),FALSE())*1)=4,"Match",IF((EXACT(C81,IFERROR(INDEX(KhoiVTM!$D:$D,MATCH(B81,KhoiVTM!$C:$C,0)),"__NA__"))*1)+(IFERROR(F81=INDEX(KhoiVTM!$F:$F,MATCH(B81,KhoiVTM!$C:$C,0)),FALSE())*1)+(IFERROR(OR(AND(OR(D81="—",D81=""),OR(TEXT(INDEX(KhoiVTM!$J:$J,MATCH(B81,KhoiVTM!$C:$C,0)),"@")="",TEXT(INDEX(KhoiVTM!$J:$J,MATCH(B81,KhoiVTM!$C:$C,0)),"@")="—")),EXACT(TEXT(D81,"@"),TEXT(INDEX(KhoiVTM!$J:$J,MATCH(B81,KhoiVTM!$C:$C,0)),"@"))),FALSE())*1)+(IFERROR(OR(AND(OR(E81="—",E81=""),OR(TEXT(INDEX(KhoiVTM!$M:$M,MATCH(B81,KhoiVTM!$C:$C,0)),"@")="",TEXT(INDEX(KhoiVTM!$M:$M,MATCH(B81,KhoiVTM!$C:$C,0)),"@")="—")),EXACT(TEXT(E81,"@"),TEXT(INDEX(KhoiVTM!$M:$M,MATCH(B81,KhoiVTM!$C:$C,0)),"@"))),FALSE())*1)&gt;=3,"Partial","Mismatch"))),"Not Found")</f>
        <v>Match</v>
      </c>
    </row>
    <row r="82" spans="1:14" x14ac:dyDescent="0.25">
      <c r="A82" s="114">
        <f>KhoiVTM!A82</f>
        <v>81</v>
      </c>
      <c r="B82" s="114" t="str">
        <f>KhoiVTM!C82</f>
        <v>MLF1608A1R0JT000</v>
      </c>
      <c r="C82" s="114" t="str">
        <f>KhoiVTM!D82</f>
        <v>FIXED IND 1UH 50MA 500 MOHM SMD</v>
      </c>
      <c r="D82" s="113" t="s">
        <v>373</v>
      </c>
      <c r="E82" s="113">
        <v>603</v>
      </c>
      <c r="F82" s="114">
        <f>KhoiVTM!F82</f>
        <v>10</v>
      </c>
      <c r="G82" s="114">
        <v>1</v>
      </c>
      <c r="H82" s="114">
        <v>0</v>
      </c>
      <c r="I82" s="114">
        <f t="shared" si="7"/>
        <v>10</v>
      </c>
      <c r="J82" s="58" t="str">
        <f t="shared" si="8"/>
        <v>Other</v>
      </c>
      <c r="K82" s="62" t="s">
        <v>299</v>
      </c>
      <c r="L82" s="114" t="s">
        <v>515</v>
      </c>
      <c r="M82" s="56"/>
      <c r="N82" s="57" t="str">
        <f>IFERROR(IF(ISERROR(MATCH(B82,KhoiVTM!$C:$C,0)),"Not Found",IF((EXACT(C82,IFERROR(INDEX(KhoiVTM!$D:$D,MATCH(B82,KhoiVTM!$C:$C,0)),"__NA__"))*1)+(IFERROR(F82=INDEX(KhoiVTM!$F:$F,MATCH(B82,KhoiVTM!$C:$C,0)),FALSE())*1)+(IFERROR(OR(AND(OR(D82="—",D82=""),OR(TEXT(INDEX(KhoiVTM!$J:$J,MATCH(B82,KhoiVTM!$C:$C,0)),"@")="",TEXT(INDEX(KhoiVTM!$J:$J,MATCH(B82,KhoiVTM!$C:$C,0)),"@")="—")),EXACT(TEXT(D82,"@"),TEXT(INDEX(KhoiVTM!$J:$J,MATCH(B82,KhoiVTM!$C:$C,0)),"@"))),FALSE())*1)+(IFERROR(OR(AND(OR(E82="—",E82=""),OR(TEXT(INDEX(KhoiVTM!$M:$M,MATCH(B82,KhoiVTM!$C:$C,0)),"@")="",TEXT(INDEX(KhoiVTM!$M:$M,MATCH(B82,KhoiVTM!$C:$C,0)),"@")="—")),EXACT(TEXT(E82,"@"),TEXT(INDEX(KhoiVTM!$M:$M,MATCH(B82,KhoiVTM!$C:$C,0)),"@"))),FALSE())*1)=4,"Match",IF((EXACT(C82,IFERROR(INDEX(KhoiVTM!$D:$D,MATCH(B82,KhoiVTM!$C:$C,0)),"__NA__"))*1)+(IFERROR(F82=INDEX(KhoiVTM!$F:$F,MATCH(B82,KhoiVTM!$C:$C,0)),FALSE())*1)+(IFERROR(OR(AND(OR(D82="—",D82=""),OR(TEXT(INDEX(KhoiVTM!$J:$J,MATCH(B82,KhoiVTM!$C:$C,0)),"@")="",TEXT(INDEX(KhoiVTM!$J:$J,MATCH(B82,KhoiVTM!$C:$C,0)),"@")="—")),EXACT(TEXT(D82,"@"),TEXT(INDEX(KhoiVTM!$J:$J,MATCH(B82,KhoiVTM!$C:$C,0)),"@"))),FALSE())*1)+(IFERROR(OR(AND(OR(E82="—",E82=""),OR(TEXT(INDEX(KhoiVTM!$M:$M,MATCH(B82,KhoiVTM!$C:$C,0)),"@")="",TEXT(INDEX(KhoiVTM!$M:$M,MATCH(B82,KhoiVTM!$C:$C,0)),"@")="—")),EXACT(TEXT(E82,"@"),TEXT(INDEX(KhoiVTM!$M:$M,MATCH(B82,KhoiVTM!$C:$C,0)),"@"))),FALSE())*1)&gt;=3,"Partial","Mismatch"))),"Not Found")</f>
        <v>Match</v>
      </c>
    </row>
    <row r="83" spans="1:14" x14ac:dyDescent="0.25">
      <c r="A83" s="114">
        <f>KhoiVTM!A83</f>
        <v>82</v>
      </c>
      <c r="B83" s="114" t="str">
        <f>KhoiVTM!C83</f>
        <v>MLF1608A1R5JT000</v>
      </c>
      <c r="C83" s="114" t="str">
        <f>KhoiVTM!D83</f>
        <v>FIXED IND 1.5UH 50MA 700 MOHM</v>
      </c>
      <c r="D83" s="113" t="s">
        <v>378</v>
      </c>
      <c r="E83" s="113">
        <v>603</v>
      </c>
      <c r="F83" s="114">
        <f>KhoiVTM!F83</f>
        <v>10</v>
      </c>
      <c r="G83" s="114">
        <v>1</v>
      </c>
      <c r="H83" s="114">
        <v>0</v>
      </c>
      <c r="I83" s="114">
        <f t="shared" si="7"/>
        <v>10</v>
      </c>
      <c r="J83" s="58" t="str">
        <f t="shared" si="8"/>
        <v>Other</v>
      </c>
      <c r="K83" s="62" t="s">
        <v>299</v>
      </c>
      <c r="L83" s="114" t="s">
        <v>515</v>
      </c>
      <c r="M83" s="56"/>
      <c r="N83" s="57" t="str">
        <f>IFERROR(IF(ISERROR(MATCH(B83,KhoiVTM!$C:$C,0)),"Not Found",IF((EXACT(C83,IFERROR(INDEX(KhoiVTM!$D:$D,MATCH(B83,KhoiVTM!$C:$C,0)),"__NA__"))*1)+(IFERROR(F83=INDEX(KhoiVTM!$F:$F,MATCH(B83,KhoiVTM!$C:$C,0)),FALSE())*1)+(IFERROR(OR(AND(OR(D83="—",D83=""),OR(TEXT(INDEX(KhoiVTM!$J:$J,MATCH(B83,KhoiVTM!$C:$C,0)),"@")="",TEXT(INDEX(KhoiVTM!$J:$J,MATCH(B83,KhoiVTM!$C:$C,0)),"@")="—")),EXACT(TEXT(D83,"@"),TEXT(INDEX(KhoiVTM!$J:$J,MATCH(B83,KhoiVTM!$C:$C,0)),"@"))),FALSE())*1)+(IFERROR(OR(AND(OR(E83="—",E83=""),OR(TEXT(INDEX(KhoiVTM!$M:$M,MATCH(B83,KhoiVTM!$C:$C,0)),"@")="",TEXT(INDEX(KhoiVTM!$M:$M,MATCH(B83,KhoiVTM!$C:$C,0)),"@")="—")),EXACT(TEXT(E83,"@"),TEXT(INDEX(KhoiVTM!$M:$M,MATCH(B83,KhoiVTM!$C:$C,0)),"@"))),FALSE())*1)=4,"Match",IF((EXACT(C83,IFERROR(INDEX(KhoiVTM!$D:$D,MATCH(B83,KhoiVTM!$C:$C,0)),"__NA__"))*1)+(IFERROR(F83=INDEX(KhoiVTM!$F:$F,MATCH(B83,KhoiVTM!$C:$C,0)),FALSE())*1)+(IFERROR(OR(AND(OR(D83="—",D83=""),OR(TEXT(INDEX(KhoiVTM!$J:$J,MATCH(B83,KhoiVTM!$C:$C,0)),"@")="",TEXT(INDEX(KhoiVTM!$J:$J,MATCH(B83,KhoiVTM!$C:$C,0)),"@")="—")),EXACT(TEXT(D83,"@"),TEXT(INDEX(KhoiVTM!$J:$J,MATCH(B83,KhoiVTM!$C:$C,0)),"@"))),FALSE())*1)+(IFERROR(OR(AND(OR(E83="—",E83=""),OR(TEXT(INDEX(KhoiVTM!$M:$M,MATCH(B83,KhoiVTM!$C:$C,0)),"@")="",TEXT(INDEX(KhoiVTM!$M:$M,MATCH(B83,KhoiVTM!$C:$C,0)),"@")="—")),EXACT(TEXT(E83,"@"),TEXT(INDEX(KhoiVTM!$M:$M,MATCH(B83,KhoiVTM!$C:$C,0)),"@"))),FALSE())*1)&gt;=3,"Partial","Mismatch"))),"Not Found")</f>
        <v>Match</v>
      </c>
    </row>
    <row r="84" spans="1:14" x14ac:dyDescent="0.25">
      <c r="A84" s="114">
        <f>KhoiVTM!A84</f>
        <v>83</v>
      </c>
      <c r="B84" s="114" t="str">
        <f>KhoiVTM!C84</f>
        <v>MLF1608A1R8JT000</v>
      </c>
      <c r="C84" s="114" t="str">
        <f>KhoiVTM!D84</f>
        <v>FIXED IND 1.8UH 50MA 850 MOHM</v>
      </c>
      <c r="D84" s="113" t="s">
        <v>383</v>
      </c>
      <c r="E84" s="113">
        <v>603</v>
      </c>
      <c r="F84" s="114">
        <f>KhoiVTM!F84</f>
        <v>10</v>
      </c>
      <c r="G84" s="114">
        <v>1</v>
      </c>
      <c r="H84" s="114">
        <v>0</v>
      </c>
      <c r="I84" s="114">
        <f t="shared" si="7"/>
        <v>10</v>
      </c>
      <c r="J84" s="58" t="str">
        <f t="shared" si="8"/>
        <v>Other</v>
      </c>
      <c r="K84" s="62" t="s">
        <v>299</v>
      </c>
      <c r="L84" s="114" t="s">
        <v>515</v>
      </c>
      <c r="M84" s="56"/>
      <c r="N84" s="57" t="str">
        <f>IFERROR(IF(ISERROR(MATCH(B84,KhoiVTM!$C:$C,0)),"Not Found",IF((EXACT(C84,IFERROR(INDEX(KhoiVTM!$D:$D,MATCH(B84,KhoiVTM!$C:$C,0)),"__NA__"))*1)+(IFERROR(F84=INDEX(KhoiVTM!$F:$F,MATCH(B84,KhoiVTM!$C:$C,0)),FALSE())*1)+(IFERROR(OR(AND(OR(D84="—",D84=""),OR(TEXT(INDEX(KhoiVTM!$J:$J,MATCH(B84,KhoiVTM!$C:$C,0)),"@")="",TEXT(INDEX(KhoiVTM!$J:$J,MATCH(B84,KhoiVTM!$C:$C,0)),"@")="—")),EXACT(TEXT(D84,"@"),TEXT(INDEX(KhoiVTM!$J:$J,MATCH(B84,KhoiVTM!$C:$C,0)),"@"))),FALSE())*1)+(IFERROR(OR(AND(OR(E84="—",E84=""),OR(TEXT(INDEX(KhoiVTM!$M:$M,MATCH(B84,KhoiVTM!$C:$C,0)),"@")="",TEXT(INDEX(KhoiVTM!$M:$M,MATCH(B84,KhoiVTM!$C:$C,0)),"@")="—")),EXACT(TEXT(E84,"@"),TEXT(INDEX(KhoiVTM!$M:$M,MATCH(B84,KhoiVTM!$C:$C,0)),"@"))),FALSE())*1)=4,"Match",IF((EXACT(C84,IFERROR(INDEX(KhoiVTM!$D:$D,MATCH(B84,KhoiVTM!$C:$C,0)),"__NA__"))*1)+(IFERROR(F84=INDEX(KhoiVTM!$F:$F,MATCH(B84,KhoiVTM!$C:$C,0)),FALSE())*1)+(IFERROR(OR(AND(OR(D84="—",D84=""),OR(TEXT(INDEX(KhoiVTM!$J:$J,MATCH(B84,KhoiVTM!$C:$C,0)),"@")="",TEXT(INDEX(KhoiVTM!$J:$J,MATCH(B84,KhoiVTM!$C:$C,0)),"@")="—")),EXACT(TEXT(D84,"@"),TEXT(INDEX(KhoiVTM!$J:$J,MATCH(B84,KhoiVTM!$C:$C,0)),"@"))),FALSE())*1)+(IFERROR(OR(AND(OR(E84="—",E84=""),OR(TEXT(INDEX(KhoiVTM!$M:$M,MATCH(B84,KhoiVTM!$C:$C,0)),"@")="",TEXT(INDEX(KhoiVTM!$M:$M,MATCH(B84,KhoiVTM!$C:$C,0)),"@")="—")),EXACT(TEXT(E84,"@"),TEXT(INDEX(KhoiVTM!$M:$M,MATCH(B84,KhoiVTM!$C:$C,0)),"@"))),FALSE())*1)&gt;=3,"Partial","Mismatch"))),"Not Found")</f>
        <v>Match</v>
      </c>
    </row>
    <row r="85" spans="1:14" x14ac:dyDescent="0.25">
      <c r="A85" s="114">
        <f>KhoiVTM!A85</f>
        <v>84</v>
      </c>
      <c r="B85" s="114" t="str">
        <f>KhoiVTM!C85</f>
        <v>CC0603FRNPO9BN201</v>
      </c>
      <c r="C85" s="114" t="str">
        <f>KhoiVTM!D85</f>
        <v>CAP CER 200PF 50V C0G/NPO 0603</v>
      </c>
      <c r="D85" s="113" t="s">
        <v>550</v>
      </c>
      <c r="E85" s="113" t="str">
        <f t="shared" ref="E85:E98" si="10">RIGHT(TRIM(C85), 4)</f>
        <v>0603</v>
      </c>
      <c r="F85" s="114">
        <f>KhoiVTM!F85</f>
        <v>10</v>
      </c>
      <c r="G85" s="114">
        <v>1</v>
      </c>
      <c r="H85" s="114">
        <v>0</v>
      </c>
      <c r="I85" s="114">
        <f t="shared" si="7"/>
        <v>10</v>
      </c>
      <c r="J85" s="58" t="str">
        <f t="shared" si="8"/>
        <v>Capacitor</v>
      </c>
      <c r="K85" s="62" t="s">
        <v>299</v>
      </c>
      <c r="L85" s="114" t="s">
        <v>515</v>
      </c>
      <c r="M85" s="56"/>
      <c r="N85" s="57" t="str">
        <f>IFERROR(IF(ISERROR(MATCH(B85,KhoiVTM!$C:$C,0)),"Not Found",IF((EXACT(C85,IFERROR(INDEX(KhoiVTM!$D:$D,MATCH(B85,KhoiVTM!$C:$C,0)),"__NA__"))*1)+(IFERROR(F85=INDEX(KhoiVTM!$F:$F,MATCH(B85,KhoiVTM!$C:$C,0)),FALSE())*1)+(IFERROR(OR(AND(OR(D85="—",D85=""),OR(TEXT(INDEX(KhoiVTM!$J:$J,MATCH(B85,KhoiVTM!$C:$C,0)),"@")="",TEXT(INDEX(KhoiVTM!$J:$J,MATCH(B85,KhoiVTM!$C:$C,0)),"@")="—")),EXACT(TEXT(D85,"@"),TEXT(INDEX(KhoiVTM!$J:$J,MATCH(B85,KhoiVTM!$C:$C,0)),"@"))),FALSE())*1)+(IFERROR(OR(AND(OR(E85="—",E85=""),OR(TEXT(INDEX(KhoiVTM!$M:$M,MATCH(B85,KhoiVTM!$C:$C,0)),"@")="",TEXT(INDEX(KhoiVTM!$M:$M,MATCH(B85,KhoiVTM!$C:$C,0)),"@")="—")),EXACT(TEXT(E85,"@"),TEXT(INDEX(KhoiVTM!$M:$M,MATCH(B85,KhoiVTM!$C:$C,0)),"@"))),FALSE())*1)=4,"Match",IF((EXACT(C85,IFERROR(INDEX(KhoiVTM!$D:$D,MATCH(B85,KhoiVTM!$C:$C,0)),"__NA__"))*1)+(IFERROR(F85=INDEX(KhoiVTM!$F:$F,MATCH(B85,KhoiVTM!$C:$C,0)),FALSE())*1)+(IFERROR(OR(AND(OR(D85="—",D85=""),OR(TEXT(INDEX(KhoiVTM!$J:$J,MATCH(B85,KhoiVTM!$C:$C,0)),"@")="",TEXT(INDEX(KhoiVTM!$J:$J,MATCH(B85,KhoiVTM!$C:$C,0)),"@")="—")),EXACT(TEXT(D85,"@"),TEXT(INDEX(KhoiVTM!$J:$J,MATCH(B85,KhoiVTM!$C:$C,0)),"@"))),FALSE())*1)+(IFERROR(OR(AND(OR(E85="—",E85=""),OR(TEXT(INDEX(KhoiVTM!$M:$M,MATCH(B85,KhoiVTM!$C:$C,0)),"@")="",TEXT(INDEX(KhoiVTM!$M:$M,MATCH(B85,KhoiVTM!$C:$C,0)),"@")="—")),EXACT(TEXT(E85,"@"),TEXT(INDEX(KhoiVTM!$M:$M,MATCH(B85,KhoiVTM!$C:$C,0)),"@"))),FALSE())*1)&gt;=3,"Partial","Mismatch"))),"Not Found")</f>
        <v>Match</v>
      </c>
    </row>
    <row r="86" spans="1:14" x14ac:dyDescent="0.25">
      <c r="A86" s="114">
        <f>KhoiVTM!A86</f>
        <v>85</v>
      </c>
      <c r="B86" s="114" t="str">
        <f>KhoiVTM!C86</f>
        <v>C0603C391F5GACTU</v>
      </c>
      <c r="C86" s="114" t="str">
        <f>KhoiVTM!D86</f>
        <v>CAP CER 390PF 50V C0G/NP0 0603</v>
      </c>
      <c r="D86" s="113" t="s">
        <v>551</v>
      </c>
      <c r="E86" s="113" t="str">
        <f t="shared" si="10"/>
        <v>0603</v>
      </c>
      <c r="F86" s="114">
        <f>KhoiVTM!F86</f>
        <v>5</v>
      </c>
      <c r="G86" s="114">
        <v>1</v>
      </c>
      <c r="H86" s="114">
        <v>0</v>
      </c>
      <c r="I86" s="114">
        <f t="shared" si="7"/>
        <v>5</v>
      </c>
      <c r="J86" s="58" t="str">
        <f t="shared" si="8"/>
        <v>Capacitor</v>
      </c>
      <c r="K86" s="62" t="s">
        <v>299</v>
      </c>
      <c r="L86" s="197" t="s">
        <v>392</v>
      </c>
      <c r="M86" s="56"/>
      <c r="N86" s="57" t="str">
        <f>IFERROR(IF(ISERROR(MATCH(B86,KhoiVTM!$C:$C,0)),"Not Found",IF((EXACT(C86,IFERROR(INDEX(KhoiVTM!$D:$D,MATCH(B86,KhoiVTM!$C:$C,0)),"__NA__"))*1)+(IFERROR(F86=INDEX(KhoiVTM!$F:$F,MATCH(B86,KhoiVTM!$C:$C,0)),FALSE())*1)+(IFERROR(OR(AND(OR(D86="—",D86=""),OR(TEXT(INDEX(KhoiVTM!$J:$J,MATCH(B86,KhoiVTM!$C:$C,0)),"@")="",TEXT(INDEX(KhoiVTM!$J:$J,MATCH(B86,KhoiVTM!$C:$C,0)),"@")="—")),EXACT(TEXT(D86,"@"),TEXT(INDEX(KhoiVTM!$J:$J,MATCH(B86,KhoiVTM!$C:$C,0)),"@"))),FALSE())*1)+(IFERROR(OR(AND(OR(E86="—",E86=""),OR(TEXT(INDEX(KhoiVTM!$M:$M,MATCH(B86,KhoiVTM!$C:$C,0)),"@")="",TEXT(INDEX(KhoiVTM!$M:$M,MATCH(B86,KhoiVTM!$C:$C,0)),"@")="—")),EXACT(TEXT(E86,"@"),TEXT(INDEX(KhoiVTM!$M:$M,MATCH(B86,KhoiVTM!$C:$C,0)),"@"))),FALSE())*1)=4,"Match",IF((EXACT(C86,IFERROR(INDEX(KhoiVTM!$D:$D,MATCH(B86,KhoiVTM!$C:$C,0)),"__NA__"))*1)+(IFERROR(F86=INDEX(KhoiVTM!$F:$F,MATCH(B86,KhoiVTM!$C:$C,0)),FALSE())*1)+(IFERROR(OR(AND(OR(D86="—",D86=""),OR(TEXT(INDEX(KhoiVTM!$J:$J,MATCH(B86,KhoiVTM!$C:$C,0)),"@")="",TEXT(INDEX(KhoiVTM!$J:$J,MATCH(B86,KhoiVTM!$C:$C,0)),"@")="—")),EXACT(TEXT(D86,"@"),TEXT(INDEX(KhoiVTM!$J:$J,MATCH(B86,KhoiVTM!$C:$C,0)),"@"))),FALSE())*1)+(IFERROR(OR(AND(OR(E86="—",E86=""),OR(TEXT(INDEX(KhoiVTM!$M:$M,MATCH(B86,KhoiVTM!$C:$C,0)),"@")="",TEXT(INDEX(KhoiVTM!$M:$M,MATCH(B86,KhoiVTM!$C:$C,0)),"@")="—")),EXACT(TEXT(E86,"@"),TEXT(INDEX(KhoiVTM!$M:$M,MATCH(B86,KhoiVTM!$C:$C,0)),"@"))),FALSE())*1)&gt;=3,"Partial","Mismatch"))),"Not Found")</f>
        <v>Match</v>
      </c>
    </row>
    <row r="87" spans="1:14" x14ac:dyDescent="0.25">
      <c r="A87" s="114">
        <f>KhoiVTM!A87</f>
        <v>86</v>
      </c>
      <c r="B87" s="114" t="str">
        <f>KhoiVTM!C87</f>
        <v>CL10C100CB8NNNC</v>
      </c>
      <c r="C87" s="114" t="str">
        <f>KhoiVTM!D87</f>
        <v>CAP CER 10PF 50V C0G/NP0 0603</v>
      </c>
      <c r="D87" s="113" t="s">
        <v>552</v>
      </c>
      <c r="E87" s="113" t="str">
        <f t="shared" si="10"/>
        <v>0603</v>
      </c>
      <c r="F87" s="114">
        <f>KhoiVTM!F87</f>
        <v>50</v>
      </c>
      <c r="G87" s="114">
        <v>1</v>
      </c>
      <c r="H87" s="114">
        <v>0</v>
      </c>
      <c r="I87" s="114">
        <f t="shared" si="7"/>
        <v>50</v>
      </c>
      <c r="J87" s="58" t="str">
        <f t="shared" si="8"/>
        <v>Capacitor</v>
      </c>
      <c r="K87" s="62" t="s">
        <v>299</v>
      </c>
      <c r="L87" s="197"/>
      <c r="M87" s="56"/>
      <c r="N87" s="57" t="str">
        <f>IFERROR(IF(ISERROR(MATCH(B87,KhoiVTM!$C:$C,0)),"Not Found",IF((EXACT(C87,IFERROR(INDEX(KhoiVTM!$D:$D,MATCH(B87,KhoiVTM!$C:$C,0)),"__NA__"))*1)+(IFERROR(F87=INDEX(KhoiVTM!$F:$F,MATCH(B87,KhoiVTM!$C:$C,0)),FALSE())*1)+(IFERROR(OR(AND(OR(D87="—",D87=""),OR(TEXT(INDEX(KhoiVTM!$J:$J,MATCH(B87,KhoiVTM!$C:$C,0)),"@")="",TEXT(INDEX(KhoiVTM!$J:$J,MATCH(B87,KhoiVTM!$C:$C,0)),"@")="—")),EXACT(TEXT(D87,"@"),TEXT(INDEX(KhoiVTM!$J:$J,MATCH(B87,KhoiVTM!$C:$C,0)),"@"))),FALSE())*1)+(IFERROR(OR(AND(OR(E87="—",E87=""),OR(TEXT(INDEX(KhoiVTM!$M:$M,MATCH(B87,KhoiVTM!$C:$C,0)),"@")="",TEXT(INDEX(KhoiVTM!$M:$M,MATCH(B87,KhoiVTM!$C:$C,0)),"@")="—")),EXACT(TEXT(E87,"@"),TEXT(INDEX(KhoiVTM!$M:$M,MATCH(B87,KhoiVTM!$C:$C,0)),"@"))),FALSE())*1)=4,"Match",IF((EXACT(C87,IFERROR(INDEX(KhoiVTM!$D:$D,MATCH(B87,KhoiVTM!$C:$C,0)),"__NA__"))*1)+(IFERROR(F87=INDEX(KhoiVTM!$F:$F,MATCH(B87,KhoiVTM!$C:$C,0)),FALSE())*1)+(IFERROR(OR(AND(OR(D87="—",D87=""),OR(TEXT(INDEX(KhoiVTM!$J:$J,MATCH(B87,KhoiVTM!$C:$C,0)),"@")="",TEXT(INDEX(KhoiVTM!$J:$J,MATCH(B87,KhoiVTM!$C:$C,0)),"@")="—")),EXACT(TEXT(D87,"@"),TEXT(INDEX(KhoiVTM!$J:$J,MATCH(B87,KhoiVTM!$C:$C,0)),"@"))),FALSE())*1)+(IFERROR(OR(AND(OR(E87="—",E87=""),OR(TEXT(INDEX(KhoiVTM!$M:$M,MATCH(B87,KhoiVTM!$C:$C,0)),"@")="",TEXT(INDEX(KhoiVTM!$M:$M,MATCH(B87,KhoiVTM!$C:$C,0)),"@")="—")),EXACT(TEXT(E87,"@"),TEXT(INDEX(KhoiVTM!$M:$M,MATCH(B87,KhoiVTM!$C:$C,0)),"@"))),FALSE())*1)&gt;=3,"Partial","Mismatch"))),"Not Found")</f>
        <v>Match</v>
      </c>
    </row>
    <row r="88" spans="1:14" x14ac:dyDescent="0.25">
      <c r="A88" s="114">
        <f>KhoiVTM!A88</f>
        <v>87</v>
      </c>
      <c r="B88" s="114" t="str">
        <f>KhoiVTM!C88</f>
        <v>GQM1875C2E120GB12D</v>
      </c>
      <c r="C88" s="114" t="str">
        <f>KhoiVTM!D88</f>
        <v>CAP CER 12PF 250V C0G/NP0 0603</v>
      </c>
      <c r="D88" s="113" t="s">
        <v>402</v>
      </c>
      <c r="E88" s="113" t="str">
        <f t="shared" si="10"/>
        <v>0603</v>
      </c>
      <c r="F88" s="114">
        <f>KhoiVTM!F88</f>
        <v>10</v>
      </c>
      <c r="G88" s="114">
        <v>1</v>
      </c>
      <c r="H88" s="114">
        <v>0</v>
      </c>
      <c r="I88" s="114">
        <f t="shared" si="7"/>
        <v>10</v>
      </c>
      <c r="J88" s="58" t="str">
        <f t="shared" si="8"/>
        <v>Capacitor</v>
      </c>
      <c r="K88" s="62" t="s">
        <v>299</v>
      </c>
      <c r="L88" s="197" t="s">
        <v>404</v>
      </c>
      <c r="M88" s="56"/>
      <c r="N88" s="57" t="str">
        <f>IFERROR(IF(ISERROR(MATCH(B88,KhoiVTM!$C:$C,0)),"Not Found",IF((EXACT(C88,IFERROR(INDEX(KhoiVTM!$D:$D,MATCH(B88,KhoiVTM!$C:$C,0)),"__NA__"))*1)+(IFERROR(F88=INDEX(KhoiVTM!$F:$F,MATCH(B88,KhoiVTM!$C:$C,0)),FALSE())*1)+(IFERROR(OR(AND(OR(D88="—",D88=""),OR(TEXT(INDEX(KhoiVTM!$J:$J,MATCH(B88,KhoiVTM!$C:$C,0)),"@")="",TEXT(INDEX(KhoiVTM!$J:$J,MATCH(B88,KhoiVTM!$C:$C,0)),"@")="—")),EXACT(TEXT(D88,"@"),TEXT(INDEX(KhoiVTM!$J:$J,MATCH(B88,KhoiVTM!$C:$C,0)),"@"))),FALSE())*1)+(IFERROR(OR(AND(OR(E88="—",E88=""),OR(TEXT(INDEX(KhoiVTM!$M:$M,MATCH(B88,KhoiVTM!$C:$C,0)),"@")="",TEXT(INDEX(KhoiVTM!$M:$M,MATCH(B88,KhoiVTM!$C:$C,0)),"@")="—")),EXACT(TEXT(E88,"@"),TEXT(INDEX(KhoiVTM!$M:$M,MATCH(B88,KhoiVTM!$C:$C,0)),"@"))),FALSE())*1)=4,"Match",IF((EXACT(C88,IFERROR(INDEX(KhoiVTM!$D:$D,MATCH(B88,KhoiVTM!$C:$C,0)),"__NA__"))*1)+(IFERROR(F88=INDEX(KhoiVTM!$F:$F,MATCH(B88,KhoiVTM!$C:$C,0)),FALSE())*1)+(IFERROR(OR(AND(OR(D88="—",D88=""),OR(TEXT(INDEX(KhoiVTM!$J:$J,MATCH(B88,KhoiVTM!$C:$C,0)),"@")="",TEXT(INDEX(KhoiVTM!$J:$J,MATCH(B88,KhoiVTM!$C:$C,0)),"@")="—")),EXACT(TEXT(D88,"@"),TEXT(INDEX(KhoiVTM!$J:$J,MATCH(B88,KhoiVTM!$C:$C,0)),"@"))),FALSE())*1)+(IFERROR(OR(AND(OR(E88="—",E88=""),OR(TEXT(INDEX(KhoiVTM!$M:$M,MATCH(B88,KhoiVTM!$C:$C,0)),"@")="",TEXT(INDEX(KhoiVTM!$M:$M,MATCH(B88,KhoiVTM!$C:$C,0)),"@")="—")),EXACT(TEXT(E88,"@"),TEXT(INDEX(KhoiVTM!$M:$M,MATCH(B88,KhoiVTM!$C:$C,0)),"@"))),FALSE())*1)&gt;=3,"Partial","Mismatch"))),"Not Found")</f>
        <v>Match</v>
      </c>
    </row>
    <row r="89" spans="1:14" x14ac:dyDescent="0.25">
      <c r="A89" s="114">
        <f>KhoiVTM!A89</f>
        <v>88</v>
      </c>
      <c r="B89" s="114" t="str">
        <f>KhoiVTM!C89</f>
        <v>C0603C121F5GACTU</v>
      </c>
      <c r="C89" s="114" t="str">
        <f>KhoiVTM!D89</f>
        <v>CAP CER 120PF 50V C0G/NP0 0603</v>
      </c>
      <c r="D89" s="113" t="s">
        <v>553</v>
      </c>
      <c r="E89" s="113" t="str">
        <f t="shared" si="10"/>
        <v>0603</v>
      </c>
      <c r="F89" s="114">
        <f>KhoiVTM!F89</f>
        <v>10</v>
      </c>
      <c r="G89" s="114">
        <v>1</v>
      </c>
      <c r="H89" s="114">
        <v>0</v>
      </c>
      <c r="I89" s="114">
        <f t="shared" si="7"/>
        <v>10</v>
      </c>
      <c r="J89" s="58" t="str">
        <f t="shared" si="8"/>
        <v>Capacitor</v>
      </c>
      <c r="K89" s="62" t="s">
        <v>299</v>
      </c>
      <c r="L89" s="197"/>
      <c r="M89" s="56"/>
      <c r="N89" s="57" t="str">
        <f>IFERROR(IF(ISERROR(MATCH(B89,KhoiVTM!$C:$C,0)),"Not Found",IF((EXACT(C89,IFERROR(INDEX(KhoiVTM!$D:$D,MATCH(B89,KhoiVTM!$C:$C,0)),"__NA__"))*1)+(IFERROR(F89=INDEX(KhoiVTM!$F:$F,MATCH(B89,KhoiVTM!$C:$C,0)),FALSE())*1)+(IFERROR(OR(AND(OR(D89="—",D89=""),OR(TEXT(INDEX(KhoiVTM!$J:$J,MATCH(B89,KhoiVTM!$C:$C,0)),"@")="",TEXT(INDEX(KhoiVTM!$J:$J,MATCH(B89,KhoiVTM!$C:$C,0)),"@")="—")),EXACT(TEXT(D89,"@"),TEXT(INDEX(KhoiVTM!$J:$J,MATCH(B89,KhoiVTM!$C:$C,0)),"@"))),FALSE())*1)+(IFERROR(OR(AND(OR(E89="—",E89=""),OR(TEXT(INDEX(KhoiVTM!$M:$M,MATCH(B89,KhoiVTM!$C:$C,0)),"@")="",TEXT(INDEX(KhoiVTM!$M:$M,MATCH(B89,KhoiVTM!$C:$C,0)),"@")="—")),EXACT(TEXT(E89,"@"),TEXT(INDEX(KhoiVTM!$M:$M,MATCH(B89,KhoiVTM!$C:$C,0)),"@"))),FALSE())*1)=4,"Match",IF((EXACT(C89,IFERROR(INDEX(KhoiVTM!$D:$D,MATCH(B89,KhoiVTM!$C:$C,0)),"__NA__"))*1)+(IFERROR(F89=INDEX(KhoiVTM!$F:$F,MATCH(B89,KhoiVTM!$C:$C,0)),FALSE())*1)+(IFERROR(OR(AND(OR(D89="—",D89=""),OR(TEXT(INDEX(KhoiVTM!$J:$J,MATCH(B89,KhoiVTM!$C:$C,0)),"@")="",TEXT(INDEX(KhoiVTM!$J:$J,MATCH(B89,KhoiVTM!$C:$C,0)),"@")="—")),EXACT(TEXT(D89,"@"),TEXT(INDEX(KhoiVTM!$J:$J,MATCH(B89,KhoiVTM!$C:$C,0)),"@"))),FALSE())*1)+(IFERROR(OR(AND(OR(E89="—",E89=""),OR(TEXT(INDEX(KhoiVTM!$M:$M,MATCH(B89,KhoiVTM!$C:$C,0)),"@")="",TEXT(INDEX(KhoiVTM!$M:$M,MATCH(B89,KhoiVTM!$C:$C,0)),"@")="—")),EXACT(TEXT(E89,"@"),TEXT(INDEX(KhoiVTM!$M:$M,MATCH(B89,KhoiVTM!$C:$C,0)),"@"))),FALSE())*1)&gt;=3,"Partial","Mismatch"))),"Not Found")</f>
        <v>Match</v>
      </c>
    </row>
    <row r="90" spans="1:14" x14ac:dyDescent="0.25">
      <c r="A90" s="114">
        <f>KhoiVTM!A90</f>
        <v>89</v>
      </c>
      <c r="B90" s="114" t="str">
        <f>KhoiVTM!C90</f>
        <v>CC0603FRNPO9BN820</v>
      </c>
      <c r="C90" s="114" t="str">
        <f>KhoiVTM!D90</f>
        <v>CAP CER 82PF 50V C0G/NPO 0603</v>
      </c>
      <c r="D90" s="113" t="s">
        <v>554</v>
      </c>
      <c r="E90" s="113" t="str">
        <f t="shared" si="10"/>
        <v>0603</v>
      </c>
      <c r="F90" s="114">
        <f>KhoiVTM!F90</f>
        <v>10</v>
      </c>
      <c r="G90" s="114">
        <v>1</v>
      </c>
      <c r="H90" s="114">
        <v>0</v>
      </c>
      <c r="I90" s="114">
        <f t="shared" si="7"/>
        <v>10</v>
      </c>
      <c r="J90" s="58" t="str">
        <f t="shared" si="8"/>
        <v>Capacitor</v>
      </c>
      <c r="K90" s="62" t="s">
        <v>299</v>
      </c>
      <c r="L90" s="114" t="s">
        <v>515</v>
      </c>
      <c r="M90" s="56"/>
      <c r="N90" s="57" t="str">
        <f>IFERROR(IF(ISERROR(MATCH(B90,KhoiVTM!$C:$C,0)),"Not Found",IF((EXACT(C90,IFERROR(INDEX(KhoiVTM!$D:$D,MATCH(B90,KhoiVTM!$C:$C,0)),"__NA__"))*1)+(IFERROR(F90=INDEX(KhoiVTM!$F:$F,MATCH(B90,KhoiVTM!$C:$C,0)),FALSE())*1)+(IFERROR(OR(AND(OR(D90="—",D90=""),OR(TEXT(INDEX(KhoiVTM!$J:$J,MATCH(B90,KhoiVTM!$C:$C,0)),"@")="",TEXT(INDEX(KhoiVTM!$J:$J,MATCH(B90,KhoiVTM!$C:$C,0)),"@")="—")),EXACT(TEXT(D90,"@"),TEXT(INDEX(KhoiVTM!$J:$J,MATCH(B90,KhoiVTM!$C:$C,0)),"@"))),FALSE())*1)+(IFERROR(OR(AND(OR(E90="—",E90=""),OR(TEXT(INDEX(KhoiVTM!$M:$M,MATCH(B90,KhoiVTM!$C:$C,0)),"@")="",TEXT(INDEX(KhoiVTM!$M:$M,MATCH(B90,KhoiVTM!$C:$C,0)),"@")="—")),EXACT(TEXT(E90,"@"),TEXT(INDEX(KhoiVTM!$M:$M,MATCH(B90,KhoiVTM!$C:$C,0)),"@"))),FALSE())*1)=4,"Match",IF((EXACT(C90,IFERROR(INDEX(KhoiVTM!$D:$D,MATCH(B90,KhoiVTM!$C:$C,0)),"__NA__"))*1)+(IFERROR(F90=INDEX(KhoiVTM!$F:$F,MATCH(B90,KhoiVTM!$C:$C,0)),FALSE())*1)+(IFERROR(OR(AND(OR(D90="—",D90=""),OR(TEXT(INDEX(KhoiVTM!$J:$J,MATCH(B90,KhoiVTM!$C:$C,0)),"@")="",TEXT(INDEX(KhoiVTM!$J:$J,MATCH(B90,KhoiVTM!$C:$C,0)),"@")="—")),EXACT(TEXT(D90,"@"),TEXT(INDEX(KhoiVTM!$J:$J,MATCH(B90,KhoiVTM!$C:$C,0)),"@"))),FALSE())*1)+(IFERROR(OR(AND(OR(E90="—",E90=""),OR(TEXT(INDEX(KhoiVTM!$M:$M,MATCH(B90,KhoiVTM!$C:$C,0)),"@")="",TEXT(INDEX(KhoiVTM!$M:$M,MATCH(B90,KhoiVTM!$C:$C,0)),"@")="—")),EXACT(TEXT(E90,"@"),TEXT(INDEX(KhoiVTM!$M:$M,MATCH(B90,KhoiVTM!$C:$C,0)),"@"))),FALSE())*1)&gt;=3,"Partial","Mismatch"))),"Not Found")</f>
        <v>Match</v>
      </c>
    </row>
    <row r="91" spans="1:14" x14ac:dyDescent="0.25">
      <c r="A91" s="114">
        <f>KhoiVTM!A91</f>
        <v>90</v>
      </c>
      <c r="B91" s="114" t="str">
        <f>KhoiVTM!C91</f>
        <v>KGM15ACG1H221FT</v>
      </c>
      <c r="C91" s="114" t="str">
        <f>KhoiVTM!D91</f>
        <v>CAP CER 220PF 50V C0G/NP0 0603</v>
      </c>
      <c r="D91" s="113" t="s">
        <v>555</v>
      </c>
      <c r="E91" s="113" t="str">
        <f t="shared" si="10"/>
        <v>0603</v>
      </c>
      <c r="F91" s="114">
        <f>KhoiVTM!F91</f>
        <v>10</v>
      </c>
      <c r="G91" s="114">
        <v>1</v>
      </c>
      <c r="H91" s="114">
        <v>0</v>
      </c>
      <c r="I91" s="114">
        <f t="shared" si="7"/>
        <v>10</v>
      </c>
      <c r="J91" s="58" t="str">
        <f t="shared" si="8"/>
        <v>Capacitor</v>
      </c>
      <c r="K91" s="62" t="s">
        <v>299</v>
      </c>
      <c r="L91" s="114" t="s">
        <v>515</v>
      </c>
      <c r="M91" s="56"/>
      <c r="N91" s="57" t="str">
        <f>IFERROR(IF(ISERROR(MATCH(B91,KhoiVTM!$C:$C,0)),"Not Found",IF((EXACT(C91,IFERROR(INDEX(KhoiVTM!$D:$D,MATCH(B91,KhoiVTM!$C:$C,0)),"__NA__"))*1)+(IFERROR(F91=INDEX(KhoiVTM!$F:$F,MATCH(B91,KhoiVTM!$C:$C,0)),FALSE())*1)+(IFERROR(OR(AND(OR(D91="—",D91=""),OR(TEXT(INDEX(KhoiVTM!$J:$J,MATCH(B91,KhoiVTM!$C:$C,0)),"@")="",TEXT(INDEX(KhoiVTM!$J:$J,MATCH(B91,KhoiVTM!$C:$C,0)),"@")="—")),EXACT(TEXT(D91,"@"),TEXT(INDEX(KhoiVTM!$J:$J,MATCH(B91,KhoiVTM!$C:$C,0)),"@"))),FALSE())*1)+(IFERROR(OR(AND(OR(E91="—",E91=""),OR(TEXT(INDEX(KhoiVTM!$M:$M,MATCH(B91,KhoiVTM!$C:$C,0)),"@")="",TEXT(INDEX(KhoiVTM!$M:$M,MATCH(B91,KhoiVTM!$C:$C,0)),"@")="—")),EXACT(TEXT(E91,"@"),TEXT(INDEX(KhoiVTM!$M:$M,MATCH(B91,KhoiVTM!$C:$C,0)),"@"))),FALSE())*1)=4,"Match",IF((EXACT(C91,IFERROR(INDEX(KhoiVTM!$D:$D,MATCH(B91,KhoiVTM!$C:$C,0)),"__NA__"))*1)+(IFERROR(F91=INDEX(KhoiVTM!$F:$F,MATCH(B91,KhoiVTM!$C:$C,0)),FALSE())*1)+(IFERROR(OR(AND(OR(D91="—",D91=""),OR(TEXT(INDEX(KhoiVTM!$J:$J,MATCH(B91,KhoiVTM!$C:$C,0)),"@")="",TEXT(INDEX(KhoiVTM!$J:$J,MATCH(B91,KhoiVTM!$C:$C,0)),"@")="—")),EXACT(TEXT(D91,"@"),TEXT(INDEX(KhoiVTM!$J:$J,MATCH(B91,KhoiVTM!$C:$C,0)),"@"))),FALSE())*1)+(IFERROR(OR(AND(OR(E91="—",E91=""),OR(TEXT(INDEX(KhoiVTM!$M:$M,MATCH(B91,KhoiVTM!$C:$C,0)),"@")="",TEXT(INDEX(KhoiVTM!$M:$M,MATCH(B91,KhoiVTM!$C:$C,0)),"@")="—")),EXACT(TEXT(E91,"@"),TEXT(INDEX(KhoiVTM!$M:$M,MATCH(B91,KhoiVTM!$C:$C,0)),"@"))),FALSE())*1)&gt;=3,"Partial","Mismatch"))),"Not Found")</f>
        <v>Match</v>
      </c>
    </row>
    <row r="92" spans="1:14" x14ac:dyDescent="0.25">
      <c r="A92" s="114">
        <f>KhoiVTM!A92</f>
        <v>91</v>
      </c>
      <c r="B92" s="114" t="str">
        <f>KhoiVTM!C92</f>
        <v>C0805C473J3GACTU</v>
      </c>
      <c r="C92" s="114" t="str">
        <f>KhoiVTM!D92</f>
        <v>CAP CER 0.047UF 25V C0G/NP0 0805</v>
      </c>
      <c r="D92" s="113" t="s">
        <v>538</v>
      </c>
      <c r="E92" s="113" t="str">
        <f t="shared" si="10"/>
        <v>0805</v>
      </c>
      <c r="F92" s="114">
        <f>KhoiVTM!F92</f>
        <v>10</v>
      </c>
      <c r="G92" s="114">
        <v>1</v>
      </c>
      <c r="H92" s="114">
        <v>0</v>
      </c>
      <c r="I92" s="114">
        <f t="shared" si="7"/>
        <v>10</v>
      </c>
      <c r="J92" s="58" t="str">
        <f t="shared" si="8"/>
        <v>Capacitor</v>
      </c>
      <c r="K92" s="62" t="s">
        <v>299</v>
      </c>
      <c r="L92" s="114" t="s">
        <v>515</v>
      </c>
      <c r="M92" s="56"/>
      <c r="N92" s="57" t="str">
        <f>IFERROR(IF(ISERROR(MATCH(B92,KhoiVTM!$C:$C,0)),"Not Found",IF((EXACT(C92,IFERROR(INDEX(KhoiVTM!$D:$D,MATCH(B92,KhoiVTM!$C:$C,0)),"__NA__"))*1)+(IFERROR(F92=INDEX(KhoiVTM!$F:$F,MATCH(B92,KhoiVTM!$C:$C,0)),FALSE())*1)+(IFERROR(OR(AND(OR(D92="—",D92=""),OR(TEXT(INDEX(KhoiVTM!$J:$J,MATCH(B92,KhoiVTM!$C:$C,0)),"@")="",TEXT(INDEX(KhoiVTM!$J:$J,MATCH(B92,KhoiVTM!$C:$C,0)),"@")="—")),EXACT(TEXT(D92,"@"),TEXT(INDEX(KhoiVTM!$J:$J,MATCH(B92,KhoiVTM!$C:$C,0)),"@"))),FALSE())*1)+(IFERROR(OR(AND(OR(E92="—",E92=""),OR(TEXT(INDEX(KhoiVTM!$M:$M,MATCH(B92,KhoiVTM!$C:$C,0)),"@")="",TEXT(INDEX(KhoiVTM!$M:$M,MATCH(B92,KhoiVTM!$C:$C,0)),"@")="—")),EXACT(TEXT(E92,"@"),TEXT(INDEX(KhoiVTM!$M:$M,MATCH(B92,KhoiVTM!$C:$C,0)),"@"))),FALSE())*1)=4,"Match",IF((EXACT(C92,IFERROR(INDEX(KhoiVTM!$D:$D,MATCH(B92,KhoiVTM!$C:$C,0)),"__NA__"))*1)+(IFERROR(F92=INDEX(KhoiVTM!$F:$F,MATCH(B92,KhoiVTM!$C:$C,0)),FALSE())*1)+(IFERROR(OR(AND(OR(D92="—",D92=""),OR(TEXT(INDEX(KhoiVTM!$J:$J,MATCH(B92,KhoiVTM!$C:$C,0)),"@")="",TEXT(INDEX(KhoiVTM!$J:$J,MATCH(B92,KhoiVTM!$C:$C,0)),"@")="—")),EXACT(TEXT(D92,"@"),TEXT(INDEX(KhoiVTM!$J:$J,MATCH(B92,KhoiVTM!$C:$C,0)),"@"))),FALSE())*1)+(IFERROR(OR(AND(OR(E92="—",E92=""),OR(TEXT(INDEX(KhoiVTM!$M:$M,MATCH(B92,KhoiVTM!$C:$C,0)),"@")="",TEXT(INDEX(KhoiVTM!$M:$M,MATCH(B92,KhoiVTM!$C:$C,0)),"@")="—")),EXACT(TEXT(E92,"@"),TEXT(INDEX(KhoiVTM!$M:$M,MATCH(B92,KhoiVTM!$C:$C,0)),"@"))),FALSE())*1)&gt;=3,"Partial","Mismatch"))),"Not Found")</f>
        <v>Match</v>
      </c>
    </row>
    <row r="93" spans="1:14" x14ac:dyDescent="0.25">
      <c r="A93" s="114">
        <f>KhoiVTM!A93</f>
        <v>92</v>
      </c>
      <c r="B93" s="114" t="str">
        <f>KhoiVTM!C93</f>
        <v>RNCF0603TKY100R</v>
      </c>
      <c r="C93" s="114" t="str">
        <f>KhoiVTM!D93</f>
        <v>RES SMD 100 OHM 0.01% 1/10W 0603</v>
      </c>
      <c r="D93" s="113">
        <v>100</v>
      </c>
      <c r="E93" s="113" t="str">
        <f t="shared" si="10"/>
        <v>0603</v>
      </c>
      <c r="F93" s="114">
        <f>KhoiVTM!F93</f>
        <v>10</v>
      </c>
      <c r="G93" s="114">
        <v>2</v>
      </c>
      <c r="H93" s="114">
        <v>0</v>
      </c>
      <c r="I93" s="114">
        <f t="shared" si="7"/>
        <v>10</v>
      </c>
      <c r="J93" s="58" t="str">
        <f t="shared" si="8"/>
        <v>Resistor</v>
      </c>
      <c r="K93" s="62" t="s">
        <v>299</v>
      </c>
      <c r="L93" s="114" t="s">
        <v>515</v>
      </c>
      <c r="M93" s="56"/>
      <c r="N93" s="57" t="str">
        <f>IFERROR(IF(ISERROR(MATCH(B93,KhoiVTM!$C:$C,0)),"Not Found",IF((EXACT(C93,IFERROR(INDEX(KhoiVTM!$D:$D,MATCH(B93,KhoiVTM!$C:$C,0)),"__NA__"))*1)+(IFERROR(F93=INDEX(KhoiVTM!$F:$F,MATCH(B93,KhoiVTM!$C:$C,0)),FALSE())*1)+(IFERROR(OR(AND(OR(D93="—",D93=""),OR(TEXT(INDEX(KhoiVTM!$J:$J,MATCH(B93,KhoiVTM!$C:$C,0)),"@")="",TEXT(INDEX(KhoiVTM!$J:$J,MATCH(B93,KhoiVTM!$C:$C,0)),"@")="—")),EXACT(TEXT(D93,"@"),TEXT(INDEX(KhoiVTM!$J:$J,MATCH(B93,KhoiVTM!$C:$C,0)),"@"))),FALSE())*1)+(IFERROR(OR(AND(OR(E93="—",E93=""),OR(TEXT(INDEX(KhoiVTM!$M:$M,MATCH(B93,KhoiVTM!$C:$C,0)),"@")="",TEXT(INDEX(KhoiVTM!$M:$M,MATCH(B93,KhoiVTM!$C:$C,0)),"@")="—")),EXACT(TEXT(E93,"@"),TEXT(INDEX(KhoiVTM!$M:$M,MATCH(B93,KhoiVTM!$C:$C,0)),"@"))),FALSE())*1)=4,"Match",IF((EXACT(C93,IFERROR(INDEX(KhoiVTM!$D:$D,MATCH(B93,KhoiVTM!$C:$C,0)),"__NA__"))*1)+(IFERROR(F93=INDEX(KhoiVTM!$F:$F,MATCH(B93,KhoiVTM!$C:$C,0)),FALSE())*1)+(IFERROR(OR(AND(OR(D93="—",D93=""),OR(TEXT(INDEX(KhoiVTM!$J:$J,MATCH(B93,KhoiVTM!$C:$C,0)),"@")="",TEXT(INDEX(KhoiVTM!$J:$J,MATCH(B93,KhoiVTM!$C:$C,0)),"@")="—")),EXACT(TEXT(D93,"@"),TEXT(INDEX(KhoiVTM!$J:$J,MATCH(B93,KhoiVTM!$C:$C,0)),"@"))),FALSE())*1)+(IFERROR(OR(AND(OR(E93="—",E93=""),OR(TEXT(INDEX(KhoiVTM!$M:$M,MATCH(B93,KhoiVTM!$C:$C,0)),"@")="",TEXT(INDEX(KhoiVTM!$M:$M,MATCH(B93,KhoiVTM!$C:$C,0)),"@")="—")),EXACT(TEXT(E93,"@"),TEXT(INDEX(KhoiVTM!$M:$M,MATCH(B93,KhoiVTM!$C:$C,0)),"@"))),FALSE())*1)&gt;=3,"Partial","Mismatch"))),"Not Found")</f>
        <v>Match</v>
      </c>
    </row>
    <row r="94" spans="1:14" x14ac:dyDescent="0.25">
      <c r="A94" s="114">
        <f>KhoiVTM!A94</f>
        <v>93</v>
      </c>
      <c r="B94" s="114" t="str">
        <f>KhoiVTM!C94</f>
        <v>QSCP251Q1R0A1GV001T</v>
      </c>
      <c r="C94" s="114" t="str">
        <f>KhoiVTM!D94</f>
        <v>CAP CER 1PF 250V NP0 0603</v>
      </c>
      <c r="D94" s="113" t="s">
        <v>524</v>
      </c>
      <c r="E94" s="113" t="str">
        <f t="shared" si="10"/>
        <v>0603</v>
      </c>
      <c r="F94" s="114">
        <f>KhoiVTM!F94</f>
        <v>25</v>
      </c>
      <c r="G94" s="114">
        <v>0</v>
      </c>
      <c r="H94" s="114">
        <v>0</v>
      </c>
      <c r="I94" s="114">
        <f t="shared" si="7"/>
        <v>25</v>
      </c>
      <c r="J94" s="58" t="str">
        <f t="shared" si="8"/>
        <v>Capacitor</v>
      </c>
      <c r="K94" s="62" t="s">
        <v>299</v>
      </c>
      <c r="L94" s="114" t="s">
        <v>515</v>
      </c>
      <c r="M94" s="56"/>
      <c r="N94" s="57" t="str">
        <f>IFERROR(IF(ISERROR(MATCH(B94,KhoiVTM!$C:$C,0)),"Not Found",IF((EXACT(C94,IFERROR(INDEX(KhoiVTM!$D:$D,MATCH(B94,KhoiVTM!$C:$C,0)),"__NA__"))*1)+(IFERROR(F94=INDEX(KhoiVTM!$F:$F,MATCH(B94,KhoiVTM!$C:$C,0)),FALSE())*1)+(IFERROR(OR(AND(OR(D94="—",D94=""),OR(TEXT(INDEX(KhoiVTM!$J:$J,MATCH(B94,KhoiVTM!$C:$C,0)),"@")="",TEXT(INDEX(KhoiVTM!$J:$J,MATCH(B94,KhoiVTM!$C:$C,0)),"@")="—")),EXACT(TEXT(D94,"@"),TEXT(INDEX(KhoiVTM!$J:$J,MATCH(B94,KhoiVTM!$C:$C,0)),"@"))),FALSE())*1)+(IFERROR(OR(AND(OR(E94="—",E94=""),OR(TEXT(INDEX(KhoiVTM!$M:$M,MATCH(B94,KhoiVTM!$C:$C,0)),"@")="",TEXT(INDEX(KhoiVTM!$M:$M,MATCH(B94,KhoiVTM!$C:$C,0)),"@")="—")),EXACT(TEXT(E94,"@"),TEXT(INDEX(KhoiVTM!$M:$M,MATCH(B94,KhoiVTM!$C:$C,0)),"@"))),FALSE())*1)=4,"Match",IF((EXACT(C94,IFERROR(INDEX(KhoiVTM!$D:$D,MATCH(B94,KhoiVTM!$C:$C,0)),"__NA__"))*1)+(IFERROR(F94=INDEX(KhoiVTM!$F:$F,MATCH(B94,KhoiVTM!$C:$C,0)),FALSE())*1)+(IFERROR(OR(AND(OR(D94="—",D94=""),OR(TEXT(INDEX(KhoiVTM!$J:$J,MATCH(B94,KhoiVTM!$C:$C,0)),"@")="",TEXT(INDEX(KhoiVTM!$J:$J,MATCH(B94,KhoiVTM!$C:$C,0)),"@")="—")),EXACT(TEXT(D94,"@"),TEXT(INDEX(KhoiVTM!$J:$J,MATCH(B94,KhoiVTM!$C:$C,0)),"@"))),FALSE())*1)+(IFERROR(OR(AND(OR(E94="—",E94=""),OR(TEXT(INDEX(KhoiVTM!$M:$M,MATCH(B94,KhoiVTM!$C:$C,0)),"@")="",TEXT(INDEX(KhoiVTM!$M:$M,MATCH(B94,KhoiVTM!$C:$C,0)),"@")="—")),EXACT(TEXT(E94,"@"),TEXT(INDEX(KhoiVTM!$M:$M,MATCH(B94,KhoiVTM!$C:$C,0)),"@"))),FALSE())*1)&gt;=3,"Partial","Mismatch"))),"Not Found")</f>
        <v>Match</v>
      </c>
    </row>
    <row r="95" spans="1:14" x14ac:dyDescent="0.25">
      <c r="A95" s="114">
        <f>KhoiVTM!A95</f>
        <v>94</v>
      </c>
      <c r="B95" s="114" t="str">
        <f>KhoiVTM!C95</f>
        <v>GRT1885C1E103FA02D</v>
      </c>
      <c r="C95" s="114" t="str">
        <f>KhoiVTM!D95</f>
        <v>CAP CER 10000PF 25V C0G/NP0 0603</v>
      </c>
      <c r="D95" s="113" t="s">
        <v>530</v>
      </c>
      <c r="E95" s="113" t="str">
        <f t="shared" si="10"/>
        <v>0603</v>
      </c>
      <c r="F95" s="114">
        <f>KhoiVTM!F95</f>
        <v>10</v>
      </c>
      <c r="G95" s="114">
        <v>3</v>
      </c>
      <c r="H95" s="114">
        <v>0</v>
      </c>
      <c r="I95" s="114">
        <f t="shared" si="7"/>
        <v>10</v>
      </c>
      <c r="J95" s="58" t="str">
        <f t="shared" si="8"/>
        <v>Capacitor</v>
      </c>
      <c r="K95" s="62" t="s">
        <v>299</v>
      </c>
      <c r="L95" s="114" t="s">
        <v>433</v>
      </c>
      <c r="M95" s="56"/>
      <c r="N95" s="57" t="str">
        <f>IFERROR(IF(ISERROR(MATCH(B95,KhoiVTM!$C:$C,0)),"Not Found",IF((EXACT(C95,IFERROR(INDEX(KhoiVTM!$D:$D,MATCH(B95,KhoiVTM!$C:$C,0)),"__NA__"))*1)+(IFERROR(F95=INDEX(KhoiVTM!$F:$F,MATCH(B95,KhoiVTM!$C:$C,0)),FALSE())*1)+(IFERROR(OR(AND(OR(D95="—",D95=""),OR(TEXT(INDEX(KhoiVTM!$J:$J,MATCH(B95,KhoiVTM!$C:$C,0)),"@")="",TEXT(INDEX(KhoiVTM!$J:$J,MATCH(B95,KhoiVTM!$C:$C,0)),"@")="—")),EXACT(TEXT(D95,"@"),TEXT(INDEX(KhoiVTM!$J:$J,MATCH(B95,KhoiVTM!$C:$C,0)),"@"))),FALSE())*1)+(IFERROR(OR(AND(OR(E95="—",E95=""),OR(TEXT(INDEX(KhoiVTM!$M:$M,MATCH(B95,KhoiVTM!$C:$C,0)),"@")="",TEXT(INDEX(KhoiVTM!$M:$M,MATCH(B95,KhoiVTM!$C:$C,0)),"@")="—")),EXACT(TEXT(E95,"@"),TEXT(INDEX(KhoiVTM!$M:$M,MATCH(B95,KhoiVTM!$C:$C,0)),"@"))),FALSE())*1)=4,"Match",IF((EXACT(C95,IFERROR(INDEX(KhoiVTM!$D:$D,MATCH(B95,KhoiVTM!$C:$C,0)),"__NA__"))*1)+(IFERROR(F95=INDEX(KhoiVTM!$F:$F,MATCH(B95,KhoiVTM!$C:$C,0)),FALSE())*1)+(IFERROR(OR(AND(OR(D95="—",D95=""),OR(TEXT(INDEX(KhoiVTM!$J:$J,MATCH(B95,KhoiVTM!$C:$C,0)),"@")="",TEXT(INDEX(KhoiVTM!$J:$J,MATCH(B95,KhoiVTM!$C:$C,0)),"@")="—")),EXACT(TEXT(D95,"@"),TEXT(INDEX(KhoiVTM!$J:$J,MATCH(B95,KhoiVTM!$C:$C,0)),"@"))),FALSE())*1)+(IFERROR(OR(AND(OR(E95="—",E95=""),OR(TEXT(INDEX(KhoiVTM!$M:$M,MATCH(B95,KhoiVTM!$C:$C,0)),"@")="",TEXT(INDEX(KhoiVTM!$M:$M,MATCH(B95,KhoiVTM!$C:$C,0)),"@")="—")),EXACT(TEXT(E95,"@"),TEXT(INDEX(KhoiVTM!$M:$M,MATCH(B95,KhoiVTM!$C:$C,0)),"@"))),FALSE())*1)&gt;=3,"Partial","Mismatch"))),"Not Found")</f>
        <v>Match</v>
      </c>
    </row>
    <row r="96" spans="1:14" x14ac:dyDescent="0.25">
      <c r="A96" s="114">
        <f>KhoiVTM!A96</f>
        <v>95</v>
      </c>
      <c r="B96" s="114" t="str">
        <f>KhoiVTM!C96</f>
        <v>ERA-3ARW202V</v>
      </c>
      <c r="C96" s="114" t="str">
        <f>KhoiVTM!D96</f>
        <v>RES SMD 2K OHM 0.05% 1/10W 0603</v>
      </c>
      <c r="D96" s="113" t="s">
        <v>556</v>
      </c>
      <c r="E96" s="113" t="str">
        <f t="shared" si="10"/>
        <v>0603</v>
      </c>
      <c r="F96" s="114">
        <f>KhoiVTM!F96</f>
        <v>10</v>
      </c>
      <c r="G96" s="114">
        <f>Kicad_Extract!D43</f>
        <v>1</v>
      </c>
      <c r="H96" s="114">
        <v>0</v>
      </c>
      <c r="I96" s="114">
        <f t="shared" si="7"/>
        <v>10</v>
      </c>
      <c r="J96" s="58" t="str">
        <f t="shared" si="8"/>
        <v>Resistor</v>
      </c>
      <c r="K96" s="62" t="s">
        <v>299</v>
      </c>
      <c r="L96" s="114" t="s">
        <v>515</v>
      </c>
      <c r="M96" s="56"/>
      <c r="N96" s="57" t="str">
        <f>IFERROR(IF(ISERROR(MATCH(B96,KhoiVTM!$C:$C,0)),"Not Found",IF((EXACT(C96,IFERROR(INDEX(KhoiVTM!$D:$D,MATCH(B96,KhoiVTM!$C:$C,0)),"__NA__"))*1)+(IFERROR(F96=INDEX(KhoiVTM!$F:$F,MATCH(B96,KhoiVTM!$C:$C,0)),FALSE())*1)+(IFERROR(OR(AND(OR(D96="—",D96=""),OR(TEXT(INDEX(KhoiVTM!$J:$J,MATCH(B96,KhoiVTM!$C:$C,0)),"@")="",TEXT(INDEX(KhoiVTM!$J:$J,MATCH(B96,KhoiVTM!$C:$C,0)),"@")="—")),EXACT(TEXT(D96,"@"),TEXT(INDEX(KhoiVTM!$J:$J,MATCH(B96,KhoiVTM!$C:$C,0)),"@"))),FALSE())*1)+(IFERROR(OR(AND(OR(E96="—",E96=""),OR(TEXT(INDEX(KhoiVTM!$M:$M,MATCH(B96,KhoiVTM!$C:$C,0)),"@")="",TEXT(INDEX(KhoiVTM!$M:$M,MATCH(B96,KhoiVTM!$C:$C,0)),"@")="—")),EXACT(TEXT(E96,"@"),TEXT(INDEX(KhoiVTM!$M:$M,MATCH(B96,KhoiVTM!$C:$C,0)),"@"))),FALSE())*1)=4,"Match",IF((EXACT(C96,IFERROR(INDEX(KhoiVTM!$D:$D,MATCH(B96,KhoiVTM!$C:$C,0)),"__NA__"))*1)+(IFERROR(F96=INDEX(KhoiVTM!$F:$F,MATCH(B96,KhoiVTM!$C:$C,0)),FALSE())*1)+(IFERROR(OR(AND(OR(D96="—",D96=""),OR(TEXT(INDEX(KhoiVTM!$J:$J,MATCH(B96,KhoiVTM!$C:$C,0)),"@")="",TEXT(INDEX(KhoiVTM!$J:$J,MATCH(B96,KhoiVTM!$C:$C,0)),"@")="—")),EXACT(TEXT(D96,"@"),TEXT(INDEX(KhoiVTM!$J:$J,MATCH(B96,KhoiVTM!$C:$C,0)),"@"))),FALSE())*1)+(IFERROR(OR(AND(OR(E96="—",E96=""),OR(TEXT(INDEX(KhoiVTM!$M:$M,MATCH(B96,KhoiVTM!$C:$C,0)),"@")="",TEXT(INDEX(KhoiVTM!$M:$M,MATCH(B96,KhoiVTM!$C:$C,0)),"@")="—")),EXACT(TEXT(E96,"@"),TEXT(INDEX(KhoiVTM!$M:$M,MATCH(B96,KhoiVTM!$C:$C,0)),"@"))),FALSE())*1)&gt;=3,"Partial","Mismatch"))),"Not Found")</f>
        <v>Match</v>
      </c>
    </row>
    <row r="97" spans="1:14" x14ac:dyDescent="0.25">
      <c r="A97" s="114">
        <f>KhoiVTM!A97</f>
        <v>96</v>
      </c>
      <c r="B97" s="114" t="str">
        <f>KhoiVTM!C97</f>
        <v>ERA-3AEB52R3V</v>
      </c>
      <c r="C97" s="114" t="str">
        <f>KhoiVTM!D97</f>
        <v>RES SMD 52.3 OHM 0.1% 1/10W 0603</v>
      </c>
      <c r="D97" s="113">
        <v>52.3</v>
      </c>
      <c r="E97" s="113" t="str">
        <f t="shared" si="10"/>
        <v>0603</v>
      </c>
      <c r="F97" s="114">
        <f>KhoiVTM!F97</f>
        <v>25</v>
      </c>
      <c r="G97" s="114">
        <f>Kicad_Extract!D42</f>
        <v>2</v>
      </c>
      <c r="H97" s="114">
        <v>0</v>
      </c>
      <c r="I97" s="114">
        <f t="shared" si="7"/>
        <v>25</v>
      </c>
      <c r="J97" s="58" t="str">
        <f t="shared" si="8"/>
        <v>Resistor</v>
      </c>
      <c r="K97" s="62" t="s">
        <v>299</v>
      </c>
      <c r="L97" s="114" t="s">
        <v>515</v>
      </c>
      <c r="M97" s="56"/>
      <c r="N97" s="57" t="str">
        <f>IFERROR(IF(ISERROR(MATCH(B97,KhoiVTM!$C:$C,0)),"Not Found",IF((EXACT(C97,IFERROR(INDEX(KhoiVTM!$D:$D,MATCH(B97,KhoiVTM!$C:$C,0)),"__NA__"))*1)+(IFERROR(F97=INDEX(KhoiVTM!$F:$F,MATCH(B97,KhoiVTM!$C:$C,0)),FALSE())*1)+(IFERROR(OR(AND(OR(D97="—",D97=""),OR(TEXT(INDEX(KhoiVTM!$J:$J,MATCH(B97,KhoiVTM!$C:$C,0)),"@")="",TEXT(INDEX(KhoiVTM!$J:$J,MATCH(B97,KhoiVTM!$C:$C,0)),"@")="—")),EXACT(TEXT(D97,"@"),TEXT(INDEX(KhoiVTM!$J:$J,MATCH(B97,KhoiVTM!$C:$C,0)),"@"))),FALSE())*1)+(IFERROR(OR(AND(OR(E97="—",E97=""),OR(TEXT(INDEX(KhoiVTM!$M:$M,MATCH(B97,KhoiVTM!$C:$C,0)),"@")="",TEXT(INDEX(KhoiVTM!$M:$M,MATCH(B97,KhoiVTM!$C:$C,0)),"@")="—")),EXACT(TEXT(E97,"@"),TEXT(INDEX(KhoiVTM!$M:$M,MATCH(B97,KhoiVTM!$C:$C,0)),"@"))),FALSE())*1)=4,"Match",IF((EXACT(C97,IFERROR(INDEX(KhoiVTM!$D:$D,MATCH(B97,KhoiVTM!$C:$C,0)),"__NA__"))*1)+(IFERROR(F97=INDEX(KhoiVTM!$F:$F,MATCH(B97,KhoiVTM!$C:$C,0)),FALSE())*1)+(IFERROR(OR(AND(OR(D97="—",D97=""),OR(TEXT(INDEX(KhoiVTM!$J:$J,MATCH(B97,KhoiVTM!$C:$C,0)),"@")="",TEXT(INDEX(KhoiVTM!$J:$J,MATCH(B97,KhoiVTM!$C:$C,0)),"@")="—")),EXACT(TEXT(D97,"@"),TEXT(INDEX(KhoiVTM!$J:$J,MATCH(B97,KhoiVTM!$C:$C,0)),"@"))),FALSE())*1)+(IFERROR(OR(AND(OR(E97="—",E97=""),OR(TEXT(INDEX(KhoiVTM!$M:$M,MATCH(B97,KhoiVTM!$C:$C,0)),"@")="",TEXT(INDEX(KhoiVTM!$M:$M,MATCH(B97,KhoiVTM!$C:$C,0)),"@")="—")),EXACT(TEXT(E97,"@"),TEXT(INDEX(KhoiVTM!$M:$M,MATCH(B97,KhoiVTM!$C:$C,0)),"@"))),FALSE())*1)&gt;=3,"Partial","Mismatch"))),"Not Found")</f>
        <v>Match</v>
      </c>
    </row>
    <row r="98" spans="1:14" x14ac:dyDescent="0.25">
      <c r="A98" s="114">
        <f>KhoiVTM!A98</f>
        <v>97</v>
      </c>
      <c r="B98" s="114" t="str">
        <f>KhoiVTM!C98</f>
        <v>GCM31C5C1H104FA16L</v>
      </c>
      <c r="C98" s="114" t="str">
        <f>KhoiVTM!D98</f>
        <v>CAP CER 0.1UF 50V C0G/NP0 1206</v>
      </c>
      <c r="D98" s="60" t="s">
        <v>522</v>
      </c>
      <c r="E98" s="113" t="str">
        <f t="shared" si="10"/>
        <v>1206</v>
      </c>
      <c r="F98" s="114">
        <f>KhoiVTM!F98</f>
        <v>10</v>
      </c>
      <c r="G98" s="113" t="s">
        <v>557</v>
      </c>
      <c r="H98" s="114">
        <v>0</v>
      </c>
      <c r="I98" s="114">
        <f t="shared" ref="I98:I108" si="11">F98-H98</f>
        <v>10</v>
      </c>
      <c r="J98" s="58" t="str">
        <f t="shared" ref="J98:J108" si="12">IF(LEFT(C98,3)="RES", "Resistor", IF(LEFT(C98,3)="CAP", "Capacitor", "Other"))</f>
        <v>Capacitor</v>
      </c>
      <c r="K98" s="62" t="s">
        <v>299</v>
      </c>
      <c r="L98" s="61" t="s">
        <v>515</v>
      </c>
      <c r="M98" s="56"/>
      <c r="N98" s="57" t="str">
        <f>IFERROR(IF(ISERROR(MATCH(B98,KhoiVTM!$C:$C,0)),"Not Found",IF((EXACT(C98,IFERROR(INDEX(KhoiVTM!$D:$D,MATCH(B98,KhoiVTM!$C:$C,0)),"__NA__"))*1)+(IFERROR(F98=INDEX(KhoiVTM!$F:$F,MATCH(B98,KhoiVTM!$C:$C,0)),FALSE())*1)+(IFERROR(OR(AND(OR(D98="—",D98=""),OR(TEXT(INDEX(KhoiVTM!$J:$J,MATCH(B98,KhoiVTM!$C:$C,0)),"@")="",TEXT(INDEX(KhoiVTM!$J:$J,MATCH(B98,KhoiVTM!$C:$C,0)),"@")="—")),EXACT(TEXT(D98,"@"),TEXT(INDEX(KhoiVTM!$J:$J,MATCH(B98,KhoiVTM!$C:$C,0)),"@"))),FALSE())*1)+(IFERROR(OR(AND(OR(E98="—",E98=""),OR(TEXT(INDEX(KhoiVTM!$M:$M,MATCH(B98,KhoiVTM!$C:$C,0)),"@")="",TEXT(INDEX(KhoiVTM!$M:$M,MATCH(B98,KhoiVTM!$C:$C,0)),"@")="—")),EXACT(TEXT(E98,"@"),TEXT(INDEX(KhoiVTM!$M:$M,MATCH(B98,KhoiVTM!$C:$C,0)),"@"))),FALSE())*1)=4,"Match",IF((EXACT(C98,IFERROR(INDEX(KhoiVTM!$D:$D,MATCH(B98,KhoiVTM!$C:$C,0)),"__NA__"))*1)+(IFERROR(F98=INDEX(KhoiVTM!$F:$F,MATCH(B98,KhoiVTM!$C:$C,0)),FALSE())*1)+(IFERROR(OR(AND(OR(D98="—",D98=""),OR(TEXT(INDEX(KhoiVTM!$J:$J,MATCH(B98,KhoiVTM!$C:$C,0)),"@")="",TEXT(INDEX(KhoiVTM!$J:$J,MATCH(B98,KhoiVTM!$C:$C,0)),"@")="—")),EXACT(TEXT(D98,"@"),TEXT(INDEX(KhoiVTM!$J:$J,MATCH(B98,KhoiVTM!$C:$C,0)),"@"))),FALSE())*1)+(IFERROR(OR(AND(OR(E98="—",E98=""),OR(TEXT(INDEX(KhoiVTM!$M:$M,MATCH(B98,KhoiVTM!$C:$C,0)),"@")="",TEXT(INDEX(KhoiVTM!$M:$M,MATCH(B98,KhoiVTM!$C:$C,0)),"@")="—")),EXACT(TEXT(E98,"@"),TEXT(INDEX(KhoiVTM!$M:$M,MATCH(B98,KhoiVTM!$C:$C,0)),"@"))),FALSE())*1)&gt;=3,"Partial","Mismatch"))),"Not Found")</f>
        <v>Match</v>
      </c>
    </row>
    <row r="99" spans="1:14" x14ac:dyDescent="0.25">
      <c r="A99" s="114">
        <f>KhoiVTM!A99</f>
        <v>98</v>
      </c>
      <c r="B99" s="114" t="str">
        <f>KhoiVTM!C99</f>
        <v>RMCF0805FT60K4</v>
      </c>
      <c r="C99" s="114" t="str">
        <f>KhoiVTM!D99</f>
        <v>RES 60.4K OHM 1% 1/8W 0805</v>
      </c>
      <c r="D99" s="60" t="s">
        <v>515</v>
      </c>
      <c r="E99" s="60" t="s">
        <v>515</v>
      </c>
      <c r="F99" s="114">
        <f>KhoiVTM!F99</f>
        <v>10</v>
      </c>
      <c r="G99" s="113" t="s">
        <v>515</v>
      </c>
      <c r="H99" s="114">
        <v>0</v>
      </c>
      <c r="I99" s="114">
        <f t="shared" si="11"/>
        <v>10</v>
      </c>
      <c r="J99" s="58" t="str">
        <f t="shared" si="12"/>
        <v>Resistor</v>
      </c>
      <c r="K99" s="62" t="s">
        <v>299</v>
      </c>
      <c r="L99" s="61" t="s">
        <v>515</v>
      </c>
      <c r="M99" s="56"/>
      <c r="N99" s="57" t="str">
        <f>IFERROR(IF(ISERROR(MATCH(B99,KhoiVTM!$C:$C,0)),"Not Found",IF((EXACT(C99,IFERROR(INDEX(KhoiVTM!$D:$D,MATCH(B99,KhoiVTM!$C:$C,0)),"__NA__"))*1)+(IFERROR(F99=INDEX(KhoiVTM!$F:$F,MATCH(B99,KhoiVTM!$C:$C,0)),FALSE())*1)+(IFERROR(OR(AND(OR(D99="—",D99=""),OR(TEXT(INDEX(KhoiVTM!$J:$J,MATCH(B99,KhoiVTM!$C:$C,0)),"@")="",TEXT(INDEX(KhoiVTM!$J:$J,MATCH(B99,KhoiVTM!$C:$C,0)),"@")="—")),EXACT(TEXT(D99,"@"),TEXT(INDEX(KhoiVTM!$J:$J,MATCH(B99,KhoiVTM!$C:$C,0)),"@"))),FALSE())*1)+(IFERROR(OR(AND(OR(E99="—",E99=""),OR(TEXT(INDEX(KhoiVTM!$M:$M,MATCH(B99,KhoiVTM!$C:$C,0)),"@")="",TEXT(INDEX(KhoiVTM!$M:$M,MATCH(B99,KhoiVTM!$C:$C,0)),"@")="—")),EXACT(TEXT(E99,"@"),TEXT(INDEX(KhoiVTM!$M:$M,MATCH(B99,KhoiVTM!$C:$C,0)),"@"))),FALSE())*1)=4,"Match",IF((EXACT(C99,IFERROR(INDEX(KhoiVTM!$D:$D,MATCH(B99,KhoiVTM!$C:$C,0)),"__NA__"))*1)+(IFERROR(F99=INDEX(KhoiVTM!$F:$F,MATCH(B99,KhoiVTM!$C:$C,0)),FALSE())*1)+(IFERROR(OR(AND(OR(D99="—",D99=""),OR(TEXT(INDEX(KhoiVTM!$J:$J,MATCH(B99,KhoiVTM!$C:$C,0)),"@")="",TEXT(INDEX(KhoiVTM!$J:$J,MATCH(B99,KhoiVTM!$C:$C,0)),"@")="—")),EXACT(TEXT(D99,"@"),TEXT(INDEX(KhoiVTM!$J:$J,MATCH(B99,KhoiVTM!$C:$C,0)),"@"))),FALSE())*1)+(IFERROR(OR(AND(OR(E99="—",E99=""),OR(TEXT(INDEX(KhoiVTM!$M:$M,MATCH(B99,KhoiVTM!$C:$C,0)),"@")="",TEXT(INDEX(KhoiVTM!$M:$M,MATCH(B99,KhoiVTM!$C:$C,0)),"@")="—")),EXACT(TEXT(E99,"@"),TEXT(INDEX(KhoiVTM!$M:$M,MATCH(B99,KhoiVTM!$C:$C,0)),"@"))),FALSE())*1)&gt;=3,"Partial","Mismatch"))),"Not Found")</f>
        <v>Mismatch</v>
      </c>
    </row>
    <row r="100" spans="1:14" x14ac:dyDescent="0.25">
      <c r="A100" s="114">
        <f>KhoiVTM!A100</f>
        <v>99</v>
      </c>
      <c r="B100" s="114" t="str">
        <f>KhoiVTM!C100</f>
        <v>RC0805FR-0724K3L</v>
      </c>
      <c r="C100" s="114" t="str">
        <f>KhoiVTM!D100</f>
        <v>RES 24.3K OHM 1% 1/8W 0805</v>
      </c>
      <c r="D100" s="60" t="s">
        <v>515</v>
      </c>
      <c r="E100" s="60" t="s">
        <v>515</v>
      </c>
      <c r="F100" s="114">
        <f>KhoiVTM!F100</f>
        <v>25</v>
      </c>
      <c r="G100" s="113" t="s">
        <v>515</v>
      </c>
      <c r="H100" s="114">
        <v>0</v>
      </c>
      <c r="I100" s="114">
        <f t="shared" si="11"/>
        <v>25</v>
      </c>
      <c r="J100" s="58" t="str">
        <f t="shared" si="12"/>
        <v>Resistor</v>
      </c>
      <c r="K100" s="62" t="s">
        <v>299</v>
      </c>
      <c r="L100" s="61" t="s">
        <v>515</v>
      </c>
      <c r="M100" s="56"/>
      <c r="N100" s="57" t="str">
        <f>IFERROR(IF(ISERROR(MATCH(B100,KhoiVTM!$C:$C,0)),"Not Found",IF((EXACT(C100,IFERROR(INDEX(KhoiVTM!$D:$D,MATCH(B100,KhoiVTM!$C:$C,0)),"__NA__"))*1)+(IFERROR(F100=INDEX(KhoiVTM!$F:$F,MATCH(B100,KhoiVTM!$C:$C,0)),FALSE())*1)+(IFERROR(OR(AND(OR(D100="—",D100=""),OR(TEXT(INDEX(KhoiVTM!$J:$J,MATCH(B100,KhoiVTM!$C:$C,0)),"@")="",TEXT(INDEX(KhoiVTM!$J:$J,MATCH(B100,KhoiVTM!$C:$C,0)),"@")="—")),EXACT(TEXT(D100,"@"),TEXT(INDEX(KhoiVTM!$J:$J,MATCH(B100,KhoiVTM!$C:$C,0)),"@"))),FALSE())*1)+(IFERROR(OR(AND(OR(E100="—",E100=""),OR(TEXT(INDEX(KhoiVTM!$M:$M,MATCH(B100,KhoiVTM!$C:$C,0)),"@")="",TEXT(INDEX(KhoiVTM!$M:$M,MATCH(B100,KhoiVTM!$C:$C,0)),"@")="—")),EXACT(TEXT(E100,"@"),TEXT(INDEX(KhoiVTM!$M:$M,MATCH(B100,KhoiVTM!$C:$C,0)),"@"))),FALSE())*1)=4,"Match",IF((EXACT(C100,IFERROR(INDEX(KhoiVTM!$D:$D,MATCH(B100,KhoiVTM!$C:$C,0)),"__NA__"))*1)+(IFERROR(F100=INDEX(KhoiVTM!$F:$F,MATCH(B100,KhoiVTM!$C:$C,0)),FALSE())*1)+(IFERROR(OR(AND(OR(D100="—",D100=""),OR(TEXT(INDEX(KhoiVTM!$J:$J,MATCH(B100,KhoiVTM!$C:$C,0)),"@")="",TEXT(INDEX(KhoiVTM!$J:$J,MATCH(B100,KhoiVTM!$C:$C,0)),"@")="—")),EXACT(TEXT(D100,"@"),TEXT(INDEX(KhoiVTM!$J:$J,MATCH(B100,KhoiVTM!$C:$C,0)),"@"))),FALSE())*1)+(IFERROR(OR(AND(OR(E100="—",E100=""),OR(TEXT(INDEX(KhoiVTM!$M:$M,MATCH(B100,KhoiVTM!$C:$C,0)),"@")="",TEXT(INDEX(KhoiVTM!$M:$M,MATCH(B100,KhoiVTM!$C:$C,0)),"@")="—")),EXACT(TEXT(E100,"@"),TEXT(INDEX(KhoiVTM!$M:$M,MATCH(B100,KhoiVTM!$C:$C,0)),"@"))),FALSE())*1)&gt;=3,"Partial","Mismatch"))),"Not Found")</f>
        <v>Mismatch</v>
      </c>
    </row>
    <row r="101" spans="1:14" x14ac:dyDescent="0.25">
      <c r="A101" s="114">
        <f>KhoiVTM!A101</f>
        <v>100</v>
      </c>
      <c r="B101" s="114" t="str">
        <f>KhoiVTM!C101</f>
        <v>RMCF0805FT150K</v>
      </c>
      <c r="C101" s="114" t="str">
        <f>KhoiVTM!D101</f>
        <v>RES 150K OHM 1% 1/8W 0805</v>
      </c>
      <c r="D101" s="60" t="s">
        <v>515</v>
      </c>
      <c r="E101" s="60" t="s">
        <v>515</v>
      </c>
      <c r="F101" s="114">
        <f>KhoiVTM!F101</f>
        <v>25</v>
      </c>
      <c r="G101" s="113" t="s">
        <v>515</v>
      </c>
      <c r="H101" s="114">
        <v>0</v>
      </c>
      <c r="I101" s="114">
        <f t="shared" si="11"/>
        <v>25</v>
      </c>
      <c r="J101" s="58" t="str">
        <f t="shared" si="12"/>
        <v>Resistor</v>
      </c>
      <c r="K101" s="62" t="s">
        <v>299</v>
      </c>
      <c r="L101" s="61" t="s">
        <v>515</v>
      </c>
      <c r="M101" s="56"/>
      <c r="N101" s="57" t="str">
        <f>IFERROR(IF(ISERROR(MATCH(B101,KhoiVTM!$C:$C,0)),"Not Found",IF((EXACT(C101,IFERROR(INDEX(KhoiVTM!$D:$D,MATCH(B101,KhoiVTM!$C:$C,0)),"__NA__"))*1)+(IFERROR(F101=INDEX(KhoiVTM!$F:$F,MATCH(B101,KhoiVTM!$C:$C,0)),FALSE())*1)+(IFERROR(OR(AND(OR(D101="—",D101=""),OR(TEXT(INDEX(KhoiVTM!$J:$J,MATCH(B101,KhoiVTM!$C:$C,0)),"@")="",TEXT(INDEX(KhoiVTM!$J:$J,MATCH(B101,KhoiVTM!$C:$C,0)),"@")="—")),EXACT(TEXT(D101,"@"),TEXT(INDEX(KhoiVTM!$J:$J,MATCH(B101,KhoiVTM!$C:$C,0)),"@"))),FALSE())*1)+(IFERROR(OR(AND(OR(E101="—",E101=""),OR(TEXT(INDEX(KhoiVTM!$M:$M,MATCH(B101,KhoiVTM!$C:$C,0)),"@")="",TEXT(INDEX(KhoiVTM!$M:$M,MATCH(B101,KhoiVTM!$C:$C,0)),"@")="—")),EXACT(TEXT(E101,"@"),TEXT(INDEX(KhoiVTM!$M:$M,MATCH(B101,KhoiVTM!$C:$C,0)),"@"))),FALSE())*1)=4,"Match",IF((EXACT(C101,IFERROR(INDEX(KhoiVTM!$D:$D,MATCH(B101,KhoiVTM!$C:$C,0)),"__NA__"))*1)+(IFERROR(F101=INDEX(KhoiVTM!$F:$F,MATCH(B101,KhoiVTM!$C:$C,0)),FALSE())*1)+(IFERROR(OR(AND(OR(D101="—",D101=""),OR(TEXT(INDEX(KhoiVTM!$J:$J,MATCH(B101,KhoiVTM!$C:$C,0)),"@")="",TEXT(INDEX(KhoiVTM!$J:$J,MATCH(B101,KhoiVTM!$C:$C,0)),"@")="—")),EXACT(TEXT(D101,"@"),TEXT(INDEX(KhoiVTM!$J:$J,MATCH(B101,KhoiVTM!$C:$C,0)),"@"))),FALSE())*1)+(IFERROR(OR(AND(OR(E101="—",E101=""),OR(TEXT(INDEX(KhoiVTM!$M:$M,MATCH(B101,KhoiVTM!$C:$C,0)),"@")="",TEXT(INDEX(KhoiVTM!$M:$M,MATCH(B101,KhoiVTM!$C:$C,0)),"@")="—")),EXACT(TEXT(E101,"@"),TEXT(INDEX(KhoiVTM!$M:$M,MATCH(B101,KhoiVTM!$C:$C,0)),"@"))),FALSE())*1)&gt;=3,"Partial","Mismatch"))),"Not Found")</f>
        <v>Mismatch</v>
      </c>
    </row>
    <row r="102" spans="1:14" x14ac:dyDescent="0.25">
      <c r="A102" s="114">
        <f>KhoiVTM!A102</f>
        <v>101</v>
      </c>
      <c r="B102" s="114" t="str">
        <f>KhoiVTM!C102</f>
        <v>CL10A225KO8NNNC</v>
      </c>
      <c r="C102" s="114" t="str">
        <f>KhoiVTM!D102</f>
        <v>CAP CER 2.2UF 16V X5R 0603</v>
      </c>
      <c r="D102" s="60" t="s">
        <v>515</v>
      </c>
      <c r="E102" s="60" t="s">
        <v>515</v>
      </c>
      <c r="F102" s="114">
        <f>KhoiVTM!F102</f>
        <v>20</v>
      </c>
      <c r="G102" s="113" t="s">
        <v>515</v>
      </c>
      <c r="H102" s="114">
        <v>0</v>
      </c>
      <c r="I102" s="114">
        <f t="shared" si="11"/>
        <v>20</v>
      </c>
      <c r="J102" s="58" t="str">
        <f t="shared" si="12"/>
        <v>Capacitor</v>
      </c>
      <c r="K102" s="62" t="s">
        <v>299</v>
      </c>
      <c r="L102" s="61" t="s">
        <v>515</v>
      </c>
      <c r="M102" s="56"/>
      <c r="N102" s="57" t="str">
        <f>IFERROR(IF(ISERROR(MATCH(B102,KhoiVTM!$C:$C,0)),"Not Found",IF((EXACT(C102,IFERROR(INDEX(KhoiVTM!$D:$D,MATCH(B102,KhoiVTM!$C:$C,0)),"__NA__"))*1)+(IFERROR(F102=INDEX(KhoiVTM!$F:$F,MATCH(B102,KhoiVTM!$C:$C,0)),FALSE())*1)+(IFERROR(OR(AND(OR(D102="—",D102=""),OR(TEXT(INDEX(KhoiVTM!$J:$J,MATCH(B102,KhoiVTM!$C:$C,0)),"@")="",TEXT(INDEX(KhoiVTM!$J:$J,MATCH(B102,KhoiVTM!$C:$C,0)),"@")="—")),EXACT(TEXT(D102,"@"),TEXT(INDEX(KhoiVTM!$J:$J,MATCH(B102,KhoiVTM!$C:$C,0)),"@"))),FALSE())*1)+(IFERROR(OR(AND(OR(E102="—",E102=""),OR(TEXT(INDEX(KhoiVTM!$M:$M,MATCH(B102,KhoiVTM!$C:$C,0)),"@")="",TEXT(INDEX(KhoiVTM!$M:$M,MATCH(B102,KhoiVTM!$C:$C,0)),"@")="—")),EXACT(TEXT(E102,"@"),TEXT(INDEX(KhoiVTM!$M:$M,MATCH(B102,KhoiVTM!$C:$C,0)),"@"))),FALSE())*1)=4,"Match",IF((EXACT(C102,IFERROR(INDEX(KhoiVTM!$D:$D,MATCH(B102,KhoiVTM!$C:$C,0)),"__NA__"))*1)+(IFERROR(F102=INDEX(KhoiVTM!$F:$F,MATCH(B102,KhoiVTM!$C:$C,0)),FALSE())*1)+(IFERROR(OR(AND(OR(D102="—",D102=""),OR(TEXT(INDEX(KhoiVTM!$J:$J,MATCH(B102,KhoiVTM!$C:$C,0)),"@")="",TEXT(INDEX(KhoiVTM!$J:$J,MATCH(B102,KhoiVTM!$C:$C,0)),"@")="—")),EXACT(TEXT(D102,"@"),TEXT(INDEX(KhoiVTM!$J:$J,MATCH(B102,KhoiVTM!$C:$C,0)),"@"))),FALSE())*1)+(IFERROR(OR(AND(OR(E102="—",E102=""),OR(TEXT(INDEX(KhoiVTM!$M:$M,MATCH(B102,KhoiVTM!$C:$C,0)),"@")="",TEXT(INDEX(KhoiVTM!$M:$M,MATCH(B102,KhoiVTM!$C:$C,0)),"@")="—")),EXACT(TEXT(E102,"@"),TEXT(INDEX(KhoiVTM!$M:$M,MATCH(B102,KhoiVTM!$C:$C,0)),"@"))),FALSE())*1)&gt;=3,"Partial","Mismatch"))),"Not Found")</f>
        <v>Mismatch</v>
      </c>
    </row>
    <row r="103" spans="1:14" x14ac:dyDescent="0.25">
      <c r="A103" s="114">
        <f>KhoiVTM!A103</f>
        <v>102</v>
      </c>
      <c r="B103" s="114" t="str">
        <f>KhoiVTM!C103</f>
        <v>GRM21BR61C106KE15L</v>
      </c>
      <c r="C103" s="114" t="str">
        <f>KhoiVTM!D103</f>
        <v>CAP CER 10UF 16V X5R 0805</v>
      </c>
      <c r="D103" s="60" t="s">
        <v>515</v>
      </c>
      <c r="E103" s="60" t="s">
        <v>515</v>
      </c>
      <c r="F103" s="114">
        <f>KhoiVTM!F103</f>
        <v>15</v>
      </c>
      <c r="G103" s="113" t="s">
        <v>515</v>
      </c>
      <c r="H103" s="114">
        <v>0</v>
      </c>
      <c r="I103" s="114">
        <f t="shared" si="11"/>
        <v>15</v>
      </c>
      <c r="J103" s="58" t="str">
        <f t="shared" si="12"/>
        <v>Capacitor</v>
      </c>
      <c r="K103" s="62" t="s">
        <v>299</v>
      </c>
      <c r="L103" s="61" t="s">
        <v>515</v>
      </c>
      <c r="M103" s="56"/>
      <c r="N103" s="57" t="str">
        <f>IFERROR(IF(ISERROR(MATCH(B103,KhoiVTM!$C:$C,0)),"Not Found",IF((EXACT(C103,IFERROR(INDEX(KhoiVTM!$D:$D,MATCH(B103,KhoiVTM!$C:$C,0)),"__NA__"))*1)+(IFERROR(F103=INDEX(KhoiVTM!$F:$F,MATCH(B103,KhoiVTM!$C:$C,0)),FALSE())*1)+(IFERROR(OR(AND(OR(D103="—",D103=""),OR(TEXT(INDEX(KhoiVTM!$J:$J,MATCH(B103,KhoiVTM!$C:$C,0)),"@")="",TEXT(INDEX(KhoiVTM!$J:$J,MATCH(B103,KhoiVTM!$C:$C,0)),"@")="—")),EXACT(TEXT(D103,"@"),TEXT(INDEX(KhoiVTM!$J:$J,MATCH(B103,KhoiVTM!$C:$C,0)),"@"))),FALSE())*1)+(IFERROR(OR(AND(OR(E103="—",E103=""),OR(TEXT(INDEX(KhoiVTM!$M:$M,MATCH(B103,KhoiVTM!$C:$C,0)),"@")="",TEXT(INDEX(KhoiVTM!$M:$M,MATCH(B103,KhoiVTM!$C:$C,0)),"@")="—")),EXACT(TEXT(E103,"@"),TEXT(INDEX(KhoiVTM!$M:$M,MATCH(B103,KhoiVTM!$C:$C,0)),"@"))),FALSE())*1)=4,"Match",IF((EXACT(C103,IFERROR(INDEX(KhoiVTM!$D:$D,MATCH(B103,KhoiVTM!$C:$C,0)),"__NA__"))*1)+(IFERROR(F103=INDEX(KhoiVTM!$F:$F,MATCH(B103,KhoiVTM!$C:$C,0)),FALSE())*1)+(IFERROR(OR(AND(OR(D103="—",D103=""),OR(TEXT(INDEX(KhoiVTM!$J:$J,MATCH(B103,KhoiVTM!$C:$C,0)),"@")="",TEXT(INDEX(KhoiVTM!$J:$J,MATCH(B103,KhoiVTM!$C:$C,0)),"@")="—")),EXACT(TEXT(D103,"@"),TEXT(INDEX(KhoiVTM!$J:$J,MATCH(B103,KhoiVTM!$C:$C,0)),"@"))),FALSE())*1)+(IFERROR(OR(AND(OR(E103="—",E103=""),OR(TEXT(INDEX(KhoiVTM!$M:$M,MATCH(B103,KhoiVTM!$C:$C,0)),"@")="",TEXT(INDEX(KhoiVTM!$M:$M,MATCH(B103,KhoiVTM!$C:$C,0)),"@")="—")),EXACT(TEXT(E103,"@"),TEXT(INDEX(KhoiVTM!$M:$M,MATCH(B103,KhoiVTM!$C:$C,0)),"@"))),FALSE())*1)&gt;=3,"Partial","Mismatch"))),"Not Found")</f>
        <v>Mismatch</v>
      </c>
    </row>
    <row r="104" spans="1:14" x14ac:dyDescent="0.25">
      <c r="A104" s="114">
        <f>KhoiVTM!A104</f>
        <v>103</v>
      </c>
      <c r="B104" s="114" t="str">
        <f>KhoiVTM!C104</f>
        <v>399-C0603C223K5RACTUCT-ND</v>
      </c>
      <c r="C104" s="114" t="str">
        <f>KhoiVTM!D104</f>
        <v>CAP CER 0.022UF 50V X7R 0603</v>
      </c>
      <c r="D104" s="60" t="s">
        <v>515</v>
      </c>
      <c r="E104" s="60" t="s">
        <v>515</v>
      </c>
      <c r="F104" s="114">
        <f>KhoiVTM!F104</f>
        <v>15</v>
      </c>
      <c r="G104" s="113" t="s">
        <v>515</v>
      </c>
      <c r="H104" s="114">
        <v>0</v>
      </c>
      <c r="I104" s="114">
        <f t="shared" si="11"/>
        <v>15</v>
      </c>
      <c r="J104" s="58" t="str">
        <f t="shared" si="12"/>
        <v>Capacitor</v>
      </c>
      <c r="K104" s="62" t="s">
        <v>299</v>
      </c>
      <c r="L104" s="61" t="s">
        <v>515</v>
      </c>
      <c r="M104" s="56"/>
      <c r="N104" s="57" t="str">
        <f>IFERROR(IF(ISERROR(MATCH(B104,KhoiVTM!$C:$C,0)),"Not Found",IF((EXACT(C104,IFERROR(INDEX(KhoiVTM!$D:$D,MATCH(B104,KhoiVTM!$C:$C,0)),"__NA__"))*1)+(IFERROR(F104=INDEX(KhoiVTM!$F:$F,MATCH(B104,KhoiVTM!$C:$C,0)),FALSE())*1)+(IFERROR(OR(AND(OR(D104="—",D104=""),OR(TEXT(INDEX(KhoiVTM!$J:$J,MATCH(B104,KhoiVTM!$C:$C,0)),"@")="",TEXT(INDEX(KhoiVTM!$J:$J,MATCH(B104,KhoiVTM!$C:$C,0)),"@")="—")),EXACT(TEXT(D104,"@"),TEXT(INDEX(KhoiVTM!$J:$J,MATCH(B104,KhoiVTM!$C:$C,0)),"@"))),FALSE())*1)+(IFERROR(OR(AND(OR(E104="—",E104=""),OR(TEXT(INDEX(KhoiVTM!$M:$M,MATCH(B104,KhoiVTM!$C:$C,0)),"@")="",TEXT(INDEX(KhoiVTM!$M:$M,MATCH(B104,KhoiVTM!$C:$C,0)),"@")="—")),EXACT(TEXT(E104,"@"),TEXT(INDEX(KhoiVTM!$M:$M,MATCH(B104,KhoiVTM!$C:$C,0)),"@"))),FALSE())*1)=4,"Match",IF((EXACT(C104,IFERROR(INDEX(KhoiVTM!$D:$D,MATCH(B104,KhoiVTM!$C:$C,0)),"__NA__"))*1)+(IFERROR(F104=INDEX(KhoiVTM!$F:$F,MATCH(B104,KhoiVTM!$C:$C,0)),FALSE())*1)+(IFERROR(OR(AND(OR(D104="—",D104=""),OR(TEXT(INDEX(KhoiVTM!$J:$J,MATCH(B104,KhoiVTM!$C:$C,0)),"@")="",TEXT(INDEX(KhoiVTM!$J:$J,MATCH(B104,KhoiVTM!$C:$C,0)),"@")="—")),EXACT(TEXT(D104,"@"),TEXT(INDEX(KhoiVTM!$J:$J,MATCH(B104,KhoiVTM!$C:$C,0)),"@"))),FALSE())*1)+(IFERROR(OR(AND(OR(E104="—",E104=""),OR(TEXT(INDEX(KhoiVTM!$M:$M,MATCH(B104,KhoiVTM!$C:$C,0)),"@")="",TEXT(INDEX(KhoiVTM!$M:$M,MATCH(B104,KhoiVTM!$C:$C,0)),"@")="—")),EXACT(TEXT(E104,"@"),TEXT(INDEX(KhoiVTM!$M:$M,MATCH(B104,KhoiVTM!$C:$C,0)),"@"))),FALSE())*1)&gt;=3,"Partial","Mismatch"))),"Not Found")</f>
        <v>Mismatch</v>
      </c>
    </row>
    <row r="105" spans="1:14" x14ac:dyDescent="0.25">
      <c r="A105" s="114">
        <f>KhoiVTM!A105</f>
        <v>104</v>
      </c>
      <c r="B105" s="114" t="str">
        <f>KhoiVTM!C105</f>
        <v>GRM31CR60J476KE19L</v>
      </c>
      <c r="C105" s="114" t="str">
        <f>KhoiVTM!D105</f>
        <v>CAP CER 47UF 6.3V X5R 1206</v>
      </c>
      <c r="D105" s="60" t="s">
        <v>515</v>
      </c>
      <c r="E105" s="60" t="s">
        <v>515</v>
      </c>
      <c r="F105" s="114">
        <f>KhoiVTM!F105</f>
        <v>10</v>
      </c>
      <c r="G105" s="113" t="s">
        <v>515</v>
      </c>
      <c r="H105" s="114">
        <v>0</v>
      </c>
      <c r="I105" s="114">
        <f t="shared" si="11"/>
        <v>10</v>
      </c>
      <c r="J105" s="58" t="str">
        <f t="shared" si="12"/>
        <v>Capacitor</v>
      </c>
      <c r="K105" s="62" t="s">
        <v>299</v>
      </c>
      <c r="L105" s="61" t="s">
        <v>515</v>
      </c>
      <c r="M105" s="56"/>
      <c r="N105" s="57" t="str">
        <f>IFERROR(IF(ISERROR(MATCH(B105,KhoiVTM!$C:$C,0)),"Not Found",IF((EXACT(C105,IFERROR(INDEX(KhoiVTM!$D:$D,MATCH(B105,KhoiVTM!$C:$C,0)),"__NA__"))*1)+(IFERROR(F105=INDEX(KhoiVTM!$F:$F,MATCH(B105,KhoiVTM!$C:$C,0)),FALSE())*1)+(IFERROR(OR(AND(OR(D105="—",D105=""),OR(TEXT(INDEX(KhoiVTM!$J:$J,MATCH(B105,KhoiVTM!$C:$C,0)),"@")="",TEXT(INDEX(KhoiVTM!$J:$J,MATCH(B105,KhoiVTM!$C:$C,0)),"@")="—")),EXACT(TEXT(D105,"@"),TEXT(INDEX(KhoiVTM!$J:$J,MATCH(B105,KhoiVTM!$C:$C,0)),"@"))),FALSE())*1)+(IFERROR(OR(AND(OR(E105="—",E105=""),OR(TEXT(INDEX(KhoiVTM!$M:$M,MATCH(B105,KhoiVTM!$C:$C,0)),"@")="",TEXT(INDEX(KhoiVTM!$M:$M,MATCH(B105,KhoiVTM!$C:$C,0)),"@")="—")),EXACT(TEXT(E105,"@"),TEXT(INDEX(KhoiVTM!$M:$M,MATCH(B105,KhoiVTM!$C:$C,0)),"@"))),FALSE())*1)=4,"Match",IF((EXACT(C105,IFERROR(INDEX(KhoiVTM!$D:$D,MATCH(B105,KhoiVTM!$C:$C,0)),"__NA__"))*1)+(IFERROR(F105=INDEX(KhoiVTM!$F:$F,MATCH(B105,KhoiVTM!$C:$C,0)),FALSE())*1)+(IFERROR(OR(AND(OR(D105="—",D105=""),OR(TEXT(INDEX(KhoiVTM!$J:$J,MATCH(B105,KhoiVTM!$C:$C,0)),"@")="",TEXT(INDEX(KhoiVTM!$J:$J,MATCH(B105,KhoiVTM!$C:$C,0)),"@")="—")),EXACT(TEXT(D105,"@"),TEXT(INDEX(KhoiVTM!$J:$J,MATCH(B105,KhoiVTM!$C:$C,0)),"@"))),FALSE())*1)+(IFERROR(OR(AND(OR(E105="—",E105=""),OR(TEXT(INDEX(KhoiVTM!$M:$M,MATCH(B105,KhoiVTM!$C:$C,0)),"@")="",TEXT(INDEX(KhoiVTM!$M:$M,MATCH(B105,KhoiVTM!$C:$C,0)),"@")="—")),EXACT(TEXT(E105,"@"),TEXT(INDEX(KhoiVTM!$M:$M,MATCH(B105,KhoiVTM!$C:$C,0)),"@"))),FALSE())*1)&gt;=3,"Partial","Mismatch"))),"Not Found")</f>
        <v>Mismatch</v>
      </c>
    </row>
    <row r="106" spans="1:14" x14ac:dyDescent="0.25">
      <c r="A106" s="114">
        <f>KhoiVTM!A106</f>
        <v>105</v>
      </c>
      <c r="B106" s="114" t="str">
        <f>KhoiVTM!C106</f>
        <v>SMBJ12A-E3/52</v>
      </c>
      <c r="C106" s="114" t="str">
        <f>KhoiVTM!D106</f>
        <v>TVS DIODE 12VWM 19.9VC DO214AA</v>
      </c>
      <c r="D106" s="60" t="s">
        <v>515</v>
      </c>
      <c r="E106" s="60" t="s">
        <v>515</v>
      </c>
      <c r="F106" s="114">
        <f>KhoiVTM!F106</f>
        <v>4</v>
      </c>
      <c r="G106" s="113" t="s">
        <v>515</v>
      </c>
      <c r="H106" s="114">
        <v>0</v>
      </c>
      <c r="I106" s="114">
        <f t="shared" si="11"/>
        <v>4</v>
      </c>
      <c r="J106" s="58" t="str">
        <f t="shared" si="12"/>
        <v>Other</v>
      </c>
      <c r="K106" s="62" t="s">
        <v>299</v>
      </c>
      <c r="L106" s="61" t="s">
        <v>515</v>
      </c>
      <c r="M106" s="56"/>
      <c r="N106" s="57" t="str">
        <f>IFERROR(IF(ISERROR(MATCH(B106,KhoiVTM!$C:$C,0)),"Not Found",IF((EXACT(C106,IFERROR(INDEX(KhoiVTM!$D:$D,MATCH(B106,KhoiVTM!$C:$C,0)),"__NA__"))*1)+(IFERROR(F106=INDEX(KhoiVTM!$F:$F,MATCH(B106,KhoiVTM!$C:$C,0)),FALSE())*1)+(IFERROR(OR(AND(OR(D106="—",D106=""),OR(TEXT(INDEX(KhoiVTM!$J:$J,MATCH(B106,KhoiVTM!$C:$C,0)),"@")="",TEXT(INDEX(KhoiVTM!$J:$J,MATCH(B106,KhoiVTM!$C:$C,0)),"@")="—")),EXACT(TEXT(D106,"@"),TEXT(INDEX(KhoiVTM!$J:$J,MATCH(B106,KhoiVTM!$C:$C,0)),"@"))),FALSE())*1)+(IFERROR(OR(AND(OR(E106="—",E106=""),OR(TEXT(INDEX(KhoiVTM!$M:$M,MATCH(B106,KhoiVTM!$C:$C,0)),"@")="",TEXT(INDEX(KhoiVTM!$M:$M,MATCH(B106,KhoiVTM!$C:$C,0)),"@")="—")),EXACT(TEXT(E106,"@"),TEXT(INDEX(KhoiVTM!$M:$M,MATCH(B106,KhoiVTM!$C:$C,0)),"@"))),FALSE())*1)=4,"Match",IF((EXACT(C106,IFERROR(INDEX(KhoiVTM!$D:$D,MATCH(B106,KhoiVTM!$C:$C,0)),"__NA__"))*1)+(IFERROR(F106=INDEX(KhoiVTM!$F:$F,MATCH(B106,KhoiVTM!$C:$C,0)),FALSE())*1)+(IFERROR(OR(AND(OR(D106="—",D106=""),OR(TEXT(INDEX(KhoiVTM!$J:$J,MATCH(B106,KhoiVTM!$C:$C,0)),"@")="",TEXT(INDEX(KhoiVTM!$J:$J,MATCH(B106,KhoiVTM!$C:$C,0)),"@")="—")),EXACT(TEXT(D106,"@"),TEXT(INDEX(KhoiVTM!$J:$J,MATCH(B106,KhoiVTM!$C:$C,0)),"@"))),FALSE())*1)+(IFERROR(OR(AND(OR(E106="—",E106=""),OR(TEXT(INDEX(KhoiVTM!$M:$M,MATCH(B106,KhoiVTM!$C:$C,0)),"@")="",TEXT(INDEX(KhoiVTM!$M:$M,MATCH(B106,KhoiVTM!$C:$C,0)),"@")="—")),EXACT(TEXT(E106,"@"),TEXT(INDEX(KhoiVTM!$M:$M,MATCH(B106,KhoiVTM!$C:$C,0)),"@"))),FALSE())*1)&gt;=3,"Partial","Mismatch"))),"Not Found")</f>
        <v>Mismatch</v>
      </c>
    </row>
    <row r="107" spans="1:14" x14ac:dyDescent="0.25">
      <c r="A107" s="114">
        <f>KhoiVTM!A107</f>
        <v>106</v>
      </c>
      <c r="B107" s="114" t="str">
        <f>KhoiVTM!C107</f>
        <v>SMBJ8.5A</v>
      </c>
      <c r="C107" s="114" t="str">
        <f>KhoiVTM!D107</f>
        <v>TVS DIODE 8.5VWM 14.4V DO214AA</v>
      </c>
      <c r="D107" s="60" t="s">
        <v>515</v>
      </c>
      <c r="E107" s="60" t="s">
        <v>515</v>
      </c>
      <c r="F107" s="114">
        <f>KhoiVTM!F107</f>
        <v>4</v>
      </c>
      <c r="G107" s="113" t="s">
        <v>515</v>
      </c>
      <c r="H107" s="114">
        <v>0</v>
      </c>
      <c r="I107" s="114">
        <f t="shared" si="11"/>
        <v>4</v>
      </c>
      <c r="J107" s="58" t="str">
        <f t="shared" si="12"/>
        <v>Other</v>
      </c>
      <c r="K107" s="62" t="s">
        <v>299</v>
      </c>
      <c r="L107" s="61" t="s">
        <v>515</v>
      </c>
      <c r="M107" s="56"/>
      <c r="N107" s="57" t="str">
        <f>IFERROR(IF(ISERROR(MATCH(B107,KhoiVTM!$C:$C,0)),"Not Found",IF((EXACT(C107,IFERROR(INDEX(KhoiVTM!$D:$D,MATCH(B107,KhoiVTM!$C:$C,0)),"__NA__"))*1)+(IFERROR(F107=INDEX(KhoiVTM!$F:$F,MATCH(B107,KhoiVTM!$C:$C,0)),FALSE())*1)+(IFERROR(OR(AND(OR(D107="—",D107=""),OR(TEXT(INDEX(KhoiVTM!$J:$J,MATCH(B107,KhoiVTM!$C:$C,0)),"@")="",TEXT(INDEX(KhoiVTM!$J:$J,MATCH(B107,KhoiVTM!$C:$C,0)),"@")="—")),EXACT(TEXT(D107,"@"),TEXT(INDEX(KhoiVTM!$J:$J,MATCH(B107,KhoiVTM!$C:$C,0)),"@"))),FALSE())*1)+(IFERROR(OR(AND(OR(E107="—",E107=""),OR(TEXT(INDEX(KhoiVTM!$M:$M,MATCH(B107,KhoiVTM!$C:$C,0)),"@")="",TEXT(INDEX(KhoiVTM!$M:$M,MATCH(B107,KhoiVTM!$C:$C,0)),"@")="—")),EXACT(TEXT(E107,"@"),TEXT(INDEX(KhoiVTM!$M:$M,MATCH(B107,KhoiVTM!$C:$C,0)),"@"))),FALSE())*1)=4,"Match",IF((EXACT(C107,IFERROR(INDEX(KhoiVTM!$D:$D,MATCH(B107,KhoiVTM!$C:$C,0)),"__NA__"))*1)+(IFERROR(F107=INDEX(KhoiVTM!$F:$F,MATCH(B107,KhoiVTM!$C:$C,0)),FALSE())*1)+(IFERROR(OR(AND(OR(D107="—",D107=""),OR(TEXT(INDEX(KhoiVTM!$J:$J,MATCH(B107,KhoiVTM!$C:$C,0)),"@")="",TEXT(INDEX(KhoiVTM!$J:$J,MATCH(B107,KhoiVTM!$C:$C,0)),"@")="—")),EXACT(TEXT(D107,"@"),TEXT(INDEX(KhoiVTM!$J:$J,MATCH(B107,KhoiVTM!$C:$C,0)),"@"))),FALSE())*1)+(IFERROR(OR(AND(OR(E107="—",E107=""),OR(TEXT(INDEX(KhoiVTM!$M:$M,MATCH(B107,KhoiVTM!$C:$C,0)),"@")="",TEXT(INDEX(KhoiVTM!$M:$M,MATCH(B107,KhoiVTM!$C:$C,0)),"@")="—")),EXACT(TEXT(E107,"@"),TEXT(INDEX(KhoiVTM!$M:$M,MATCH(B107,KhoiVTM!$C:$C,0)),"@"))),FALSE())*1)&gt;=3,"Partial","Mismatch"))),"Not Found")</f>
        <v>Mismatch</v>
      </c>
    </row>
    <row r="108" spans="1:14" x14ac:dyDescent="0.25">
      <c r="A108" s="114">
        <f>KhoiVTM!A108</f>
        <v>107</v>
      </c>
      <c r="B108" s="114" t="str">
        <f>KhoiVTM!C108</f>
        <v>SK54A-LTP</v>
      </c>
      <c r="C108" s="114" t="str">
        <f>KhoiVTM!D108</f>
        <v>DIODE SCHOTTKY 40V 5A DO214AC</v>
      </c>
      <c r="D108" s="60" t="s">
        <v>515</v>
      </c>
      <c r="E108" s="60" t="s">
        <v>515</v>
      </c>
      <c r="F108" s="114">
        <f>KhoiVTM!F108</f>
        <v>4</v>
      </c>
      <c r="G108" s="113" t="s">
        <v>515</v>
      </c>
      <c r="H108" s="114">
        <v>0</v>
      </c>
      <c r="I108" s="114">
        <f t="shared" si="11"/>
        <v>4</v>
      </c>
      <c r="J108" s="58" t="str">
        <f t="shared" si="12"/>
        <v>Other</v>
      </c>
      <c r="K108" s="62" t="s">
        <v>299</v>
      </c>
      <c r="L108" s="61" t="s">
        <v>515</v>
      </c>
      <c r="M108" s="56"/>
      <c r="N108" s="57" t="str">
        <f>IFERROR(IF(ISERROR(MATCH(B108,KhoiVTM!$C:$C,0)),"Not Found",IF((EXACT(C108,IFERROR(INDEX(KhoiVTM!$D:$D,MATCH(B108,KhoiVTM!$C:$C,0)),"__NA__"))*1)+(IFERROR(F108=INDEX(KhoiVTM!$F:$F,MATCH(B108,KhoiVTM!$C:$C,0)),FALSE())*1)+(IFERROR(OR(AND(OR(D108="—",D108=""),OR(TEXT(INDEX(KhoiVTM!$J:$J,MATCH(B108,KhoiVTM!$C:$C,0)),"@")="",TEXT(INDEX(KhoiVTM!$J:$J,MATCH(B108,KhoiVTM!$C:$C,0)),"@")="—")),EXACT(TEXT(D108,"@"),TEXT(INDEX(KhoiVTM!$J:$J,MATCH(B108,KhoiVTM!$C:$C,0)),"@"))),FALSE())*1)+(IFERROR(OR(AND(OR(E108="—",E108=""),OR(TEXT(INDEX(KhoiVTM!$M:$M,MATCH(B108,KhoiVTM!$C:$C,0)),"@")="",TEXT(INDEX(KhoiVTM!$M:$M,MATCH(B108,KhoiVTM!$C:$C,0)),"@")="—")),EXACT(TEXT(E108,"@"),TEXT(INDEX(KhoiVTM!$M:$M,MATCH(B108,KhoiVTM!$C:$C,0)),"@"))),FALSE())*1)=4,"Match",IF((EXACT(C108,IFERROR(INDEX(KhoiVTM!$D:$D,MATCH(B108,KhoiVTM!$C:$C,0)),"__NA__"))*1)+(IFERROR(F108=INDEX(KhoiVTM!$F:$F,MATCH(B108,KhoiVTM!$C:$C,0)),FALSE())*1)+(IFERROR(OR(AND(OR(D108="—",D108=""),OR(TEXT(INDEX(KhoiVTM!$J:$J,MATCH(B108,KhoiVTM!$C:$C,0)),"@")="",TEXT(INDEX(KhoiVTM!$J:$J,MATCH(B108,KhoiVTM!$C:$C,0)),"@")="—")),EXACT(TEXT(D108,"@"),TEXT(INDEX(KhoiVTM!$J:$J,MATCH(B108,KhoiVTM!$C:$C,0)),"@"))),FALSE())*1)+(IFERROR(OR(AND(OR(E108="—",E108=""),OR(TEXT(INDEX(KhoiVTM!$M:$M,MATCH(B108,KhoiVTM!$C:$C,0)),"@")="",TEXT(INDEX(KhoiVTM!$M:$M,MATCH(B108,KhoiVTM!$C:$C,0)),"@")="—")),EXACT(TEXT(E108,"@"),TEXT(INDEX(KhoiVTM!$M:$M,MATCH(B108,KhoiVTM!$C:$C,0)),"@"))),FALSE())*1)&gt;=3,"Partial","Mismatch"))),"Not Found")</f>
        <v>Mismatch</v>
      </c>
    </row>
  </sheetData>
  <mergeCells count="3">
    <mergeCell ref="L78:L79"/>
    <mergeCell ref="L86:L87"/>
    <mergeCell ref="L88:L89"/>
  </mergeCells>
  <conditionalFormatting sqref="N2:N108">
    <cfRule type="expression" dxfId="4" priority="1">
      <formula>N2="Match"</formula>
    </cfRule>
    <cfRule type="expression" dxfId="3" priority="2">
      <formula>N2="Mismatch"</formula>
    </cfRule>
    <cfRule type="expression" dxfId="2" priority="3">
      <formula>N2="Partial"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6AA6B-2241-4076-83C8-566C816431A2}">
  <dimension ref="A1:F67"/>
  <sheetViews>
    <sheetView workbookViewId="0">
      <selection activeCell="B91" sqref="B91"/>
    </sheetView>
  </sheetViews>
  <sheetFormatPr defaultRowHeight="15" x14ac:dyDescent="0.25"/>
  <cols>
    <col min="1" max="1" width="20.140625" customWidth="1"/>
    <col min="2" max="2" width="27" customWidth="1"/>
    <col min="3" max="3" width="14.42578125" customWidth="1"/>
    <col min="5" max="5" width="89.85546875" customWidth="1"/>
    <col min="6" max="6" width="19.7109375" customWidth="1"/>
  </cols>
  <sheetData>
    <row r="1" spans="1:6" x14ac:dyDescent="0.25">
      <c r="A1" s="112" t="s">
        <v>558</v>
      </c>
      <c r="B1" s="112" t="s">
        <v>9</v>
      </c>
      <c r="C1" s="112" t="s">
        <v>559</v>
      </c>
      <c r="D1" s="112" t="s">
        <v>5</v>
      </c>
      <c r="E1" s="112" t="s">
        <v>3</v>
      </c>
      <c r="F1" s="112" t="s">
        <v>560</v>
      </c>
    </row>
    <row r="2" spans="1:6" x14ac:dyDescent="0.25">
      <c r="A2" s="58" t="s">
        <v>561</v>
      </c>
      <c r="B2" s="62" t="s">
        <v>562</v>
      </c>
      <c r="C2" s="63" t="s">
        <v>162</v>
      </c>
      <c r="D2" s="58">
        <v>27</v>
      </c>
      <c r="E2" s="58" t="s">
        <v>563</v>
      </c>
      <c r="F2" s="58"/>
    </row>
    <row r="3" spans="1:6" x14ac:dyDescent="0.25">
      <c r="A3" s="58" t="s">
        <v>446</v>
      </c>
      <c r="B3" s="62" t="s">
        <v>562</v>
      </c>
      <c r="C3" s="64" t="s">
        <v>192</v>
      </c>
      <c r="D3" s="58">
        <v>5</v>
      </c>
      <c r="E3" s="58" t="s">
        <v>563</v>
      </c>
      <c r="F3" s="58"/>
    </row>
    <row r="4" spans="1:6" x14ac:dyDescent="0.25">
      <c r="A4" s="58" t="s">
        <v>564</v>
      </c>
      <c r="B4" s="62" t="s">
        <v>565</v>
      </c>
      <c r="C4" s="64" t="s">
        <v>162</v>
      </c>
      <c r="D4" s="58">
        <v>2</v>
      </c>
      <c r="E4" s="58" t="s">
        <v>563</v>
      </c>
      <c r="F4" s="58" t="s">
        <v>560</v>
      </c>
    </row>
    <row r="5" spans="1:6" x14ac:dyDescent="0.25">
      <c r="A5" s="58" t="s">
        <v>566</v>
      </c>
      <c r="B5" s="62" t="s">
        <v>567</v>
      </c>
      <c r="C5" s="64" t="s">
        <v>568</v>
      </c>
      <c r="D5" s="58">
        <v>19</v>
      </c>
      <c r="E5" s="58" t="s">
        <v>563</v>
      </c>
      <c r="F5" s="58"/>
    </row>
    <row r="6" spans="1:6" x14ac:dyDescent="0.25">
      <c r="A6" s="58" t="s">
        <v>569</v>
      </c>
      <c r="B6" s="62" t="s">
        <v>570</v>
      </c>
      <c r="C6" s="64" t="s">
        <v>162</v>
      </c>
      <c r="D6" s="58">
        <v>3</v>
      </c>
      <c r="E6" s="58" t="s">
        <v>563</v>
      </c>
      <c r="F6" s="58"/>
    </row>
    <row r="7" spans="1:6" x14ac:dyDescent="0.25">
      <c r="A7" s="58" t="s">
        <v>571</v>
      </c>
      <c r="B7" s="62" t="s">
        <v>572</v>
      </c>
      <c r="C7" s="64" t="s">
        <v>162</v>
      </c>
      <c r="D7" s="58">
        <v>2</v>
      </c>
      <c r="E7" s="58" t="s">
        <v>573</v>
      </c>
      <c r="F7" s="58"/>
    </row>
    <row r="8" spans="1:6" x14ac:dyDescent="0.25">
      <c r="A8" s="58" t="s">
        <v>574</v>
      </c>
      <c r="B8" s="62" t="s">
        <v>575</v>
      </c>
      <c r="C8" s="64" t="s">
        <v>162</v>
      </c>
      <c r="D8" s="58">
        <v>1</v>
      </c>
      <c r="E8" s="58" t="s">
        <v>573</v>
      </c>
      <c r="F8" s="58"/>
    </row>
    <row r="9" spans="1:6" x14ac:dyDescent="0.25">
      <c r="A9" s="58" t="s">
        <v>576</v>
      </c>
      <c r="B9" s="62" t="s">
        <v>577</v>
      </c>
      <c r="C9" s="64" t="s">
        <v>162</v>
      </c>
      <c r="D9" s="58">
        <v>3</v>
      </c>
      <c r="E9" s="58" t="s">
        <v>573</v>
      </c>
      <c r="F9" s="58"/>
    </row>
    <row r="10" spans="1:6" x14ac:dyDescent="0.25">
      <c r="A10" s="58" t="s">
        <v>578</v>
      </c>
      <c r="B10" s="62" t="s">
        <v>579</v>
      </c>
      <c r="C10" s="64" t="s">
        <v>162</v>
      </c>
      <c r="D10" s="58">
        <v>1</v>
      </c>
      <c r="E10" s="58" t="s">
        <v>573</v>
      </c>
      <c r="F10" s="58"/>
    </row>
    <row r="11" spans="1:6" x14ac:dyDescent="0.25">
      <c r="A11" s="58" t="s">
        <v>580</v>
      </c>
      <c r="B11" s="62" t="s">
        <v>581</v>
      </c>
      <c r="C11" s="64" t="s">
        <v>162</v>
      </c>
      <c r="D11" s="58">
        <v>1</v>
      </c>
      <c r="E11" s="58" t="s">
        <v>573</v>
      </c>
      <c r="F11" s="58"/>
    </row>
    <row r="12" spans="1:6" x14ac:dyDescent="0.25">
      <c r="A12" s="58" t="s">
        <v>582</v>
      </c>
      <c r="B12" s="62" t="s">
        <v>583</v>
      </c>
      <c r="C12" s="64" t="s">
        <v>162</v>
      </c>
      <c r="D12" s="58">
        <v>1</v>
      </c>
      <c r="E12" s="58" t="s">
        <v>573</v>
      </c>
      <c r="F12" s="58"/>
    </row>
    <row r="13" spans="1:6" x14ac:dyDescent="0.25">
      <c r="A13" s="58" t="s">
        <v>584</v>
      </c>
      <c r="B13" s="62" t="s">
        <v>585</v>
      </c>
      <c r="C13" s="64" t="s">
        <v>162</v>
      </c>
      <c r="D13" s="58">
        <v>1</v>
      </c>
      <c r="E13" s="58" t="s">
        <v>573</v>
      </c>
      <c r="F13" s="58"/>
    </row>
    <row r="14" spans="1:6" x14ac:dyDescent="0.25">
      <c r="A14" s="58" t="s">
        <v>586</v>
      </c>
      <c r="B14" s="62" t="s">
        <v>587</v>
      </c>
      <c r="C14" s="64" t="s">
        <v>162</v>
      </c>
      <c r="D14" s="58">
        <v>1</v>
      </c>
      <c r="E14" s="58" t="s">
        <v>573</v>
      </c>
      <c r="F14" s="58"/>
    </row>
    <row r="15" spans="1:6" x14ac:dyDescent="0.25">
      <c r="A15" s="58" t="s">
        <v>588</v>
      </c>
      <c r="B15" s="62" t="s">
        <v>589</v>
      </c>
      <c r="C15" s="64" t="s">
        <v>162</v>
      </c>
      <c r="D15" s="58">
        <v>1</v>
      </c>
      <c r="E15" s="58" t="s">
        <v>573</v>
      </c>
      <c r="F15" s="58"/>
    </row>
    <row r="16" spans="1:6" x14ac:dyDescent="0.25">
      <c r="A16" s="58" t="s">
        <v>590</v>
      </c>
      <c r="B16" s="62" t="s">
        <v>591</v>
      </c>
      <c r="C16" s="64" t="s">
        <v>162</v>
      </c>
      <c r="D16" s="58">
        <v>1</v>
      </c>
      <c r="E16" s="58" t="s">
        <v>573</v>
      </c>
      <c r="F16" s="58"/>
    </row>
    <row r="17" spans="1:6" x14ac:dyDescent="0.25">
      <c r="A17" s="58" t="s">
        <v>592</v>
      </c>
      <c r="B17" s="62" t="s">
        <v>593</v>
      </c>
      <c r="C17" s="64" t="s">
        <v>162</v>
      </c>
      <c r="D17" s="58">
        <v>1</v>
      </c>
      <c r="E17" s="58" t="s">
        <v>573</v>
      </c>
      <c r="F17" s="58"/>
    </row>
    <row r="18" spans="1:6" x14ac:dyDescent="0.25">
      <c r="A18" s="58" t="s">
        <v>594</v>
      </c>
      <c r="B18" s="62" t="s">
        <v>595</v>
      </c>
      <c r="C18" s="64" t="s">
        <v>568</v>
      </c>
      <c r="D18" s="58">
        <v>1</v>
      </c>
      <c r="E18" s="58" t="s">
        <v>563</v>
      </c>
      <c r="F18" s="58" t="s">
        <v>560</v>
      </c>
    </row>
    <row r="19" spans="1:6" x14ac:dyDescent="0.25">
      <c r="A19" s="58" t="s">
        <v>596</v>
      </c>
      <c r="B19" s="58" t="s">
        <v>597</v>
      </c>
      <c r="C19" s="58"/>
      <c r="D19" s="58">
        <v>4</v>
      </c>
      <c r="E19" s="58"/>
      <c r="F19" s="58"/>
    </row>
    <row r="20" spans="1:6" x14ac:dyDescent="0.25">
      <c r="A20" s="58" t="s">
        <v>598</v>
      </c>
      <c r="B20" s="58" t="s">
        <v>599</v>
      </c>
      <c r="C20" s="58"/>
      <c r="D20" s="58">
        <v>1</v>
      </c>
      <c r="E20" s="58" t="s">
        <v>600</v>
      </c>
      <c r="F20" s="58"/>
    </row>
    <row r="21" spans="1:6" x14ac:dyDescent="0.25">
      <c r="A21" s="58" t="s">
        <v>601</v>
      </c>
      <c r="B21" s="58" t="s">
        <v>602</v>
      </c>
      <c r="C21" s="58"/>
      <c r="D21" s="58">
        <v>1</v>
      </c>
      <c r="E21" s="58" t="s">
        <v>603</v>
      </c>
      <c r="F21" s="58"/>
    </row>
    <row r="22" spans="1:6" x14ac:dyDescent="0.25">
      <c r="A22" s="58" t="s">
        <v>604</v>
      </c>
      <c r="B22" s="58" t="s">
        <v>605</v>
      </c>
      <c r="C22" s="58"/>
      <c r="D22" s="58">
        <v>1</v>
      </c>
      <c r="E22" s="58" t="s">
        <v>603</v>
      </c>
      <c r="F22" s="58"/>
    </row>
    <row r="23" spans="1:6" x14ac:dyDescent="0.25">
      <c r="A23" s="58" t="s">
        <v>606</v>
      </c>
      <c r="B23" s="58" t="s">
        <v>607</v>
      </c>
      <c r="C23" s="58"/>
      <c r="D23" s="58">
        <v>1</v>
      </c>
      <c r="E23" s="58" t="s">
        <v>603</v>
      </c>
      <c r="F23" s="58"/>
    </row>
    <row r="24" spans="1:6" x14ac:dyDescent="0.25">
      <c r="A24" s="58" t="s">
        <v>608</v>
      </c>
      <c r="B24" s="58" t="s">
        <v>609</v>
      </c>
      <c r="C24" s="58"/>
      <c r="D24" s="58">
        <v>1</v>
      </c>
      <c r="E24" s="58" t="s">
        <v>610</v>
      </c>
      <c r="F24" s="58"/>
    </row>
    <row r="25" spans="1:6" x14ac:dyDescent="0.25">
      <c r="A25" s="58" t="s">
        <v>611</v>
      </c>
      <c r="B25" s="58" t="s">
        <v>612</v>
      </c>
      <c r="C25" s="58"/>
      <c r="D25" s="58">
        <v>1</v>
      </c>
      <c r="E25" s="58" t="s">
        <v>613</v>
      </c>
      <c r="F25" s="58"/>
    </row>
    <row r="26" spans="1:6" x14ac:dyDescent="0.25">
      <c r="A26" s="58" t="s">
        <v>614</v>
      </c>
      <c r="B26" s="58" t="s">
        <v>615</v>
      </c>
      <c r="C26" s="58"/>
      <c r="D26" s="58">
        <v>1</v>
      </c>
      <c r="E26" s="58" t="s">
        <v>616</v>
      </c>
      <c r="F26" s="58"/>
    </row>
    <row r="27" spans="1:6" x14ac:dyDescent="0.25">
      <c r="A27" s="58" t="s">
        <v>617</v>
      </c>
      <c r="B27" s="58" t="s">
        <v>618</v>
      </c>
      <c r="C27" s="58"/>
      <c r="D27" s="58">
        <v>1</v>
      </c>
      <c r="E27" s="58" t="s">
        <v>603</v>
      </c>
      <c r="F27" s="58"/>
    </row>
    <row r="28" spans="1:6" x14ac:dyDescent="0.25">
      <c r="A28" s="58" t="s">
        <v>619</v>
      </c>
      <c r="B28" s="58" t="s">
        <v>620</v>
      </c>
      <c r="C28" s="59" t="s">
        <v>162</v>
      </c>
      <c r="D28" s="58">
        <v>1</v>
      </c>
      <c r="E28" s="58" t="s">
        <v>163</v>
      </c>
      <c r="F28" s="58"/>
    </row>
    <row r="29" spans="1:6" x14ac:dyDescent="0.25">
      <c r="A29" s="58" t="s">
        <v>621</v>
      </c>
      <c r="B29" s="58" t="s">
        <v>622</v>
      </c>
      <c r="C29" s="59" t="s">
        <v>162</v>
      </c>
      <c r="D29" s="58">
        <v>1</v>
      </c>
      <c r="E29" s="58" t="s">
        <v>163</v>
      </c>
      <c r="F29" s="58"/>
    </row>
    <row r="30" spans="1:6" x14ac:dyDescent="0.25">
      <c r="A30" s="58" t="s">
        <v>623</v>
      </c>
      <c r="B30" s="58" t="s">
        <v>624</v>
      </c>
      <c r="C30" s="59" t="s">
        <v>162</v>
      </c>
      <c r="D30" s="58">
        <v>1</v>
      </c>
      <c r="E30" s="58" t="s">
        <v>163</v>
      </c>
      <c r="F30" s="58"/>
    </row>
    <row r="31" spans="1:6" x14ac:dyDescent="0.25">
      <c r="A31" s="58" t="s">
        <v>625</v>
      </c>
      <c r="B31" s="62">
        <v>200</v>
      </c>
      <c r="C31" s="64" t="s">
        <v>162</v>
      </c>
      <c r="D31" s="58">
        <v>2</v>
      </c>
      <c r="E31" s="58" t="s">
        <v>51</v>
      </c>
      <c r="F31" s="58"/>
    </row>
    <row r="32" spans="1:6" x14ac:dyDescent="0.25">
      <c r="A32" s="58" t="s">
        <v>626</v>
      </c>
      <c r="B32" s="62">
        <v>499</v>
      </c>
      <c r="C32" s="64" t="s">
        <v>162</v>
      </c>
      <c r="D32" s="58">
        <v>6</v>
      </c>
      <c r="E32" s="58" t="s">
        <v>51</v>
      </c>
      <c r="F32" s="58" t="s">
        <v>560</v>
      </c>
    </row>
    <row r="33" spans="1:6" x14ac:dyDescent="0.25">
      <c r="A33" s="58" t="s">
        <v>627</v>
      </c>
      <c r="B33" s="62">
        <v>0</v>
      </c>
      <c r="C33" s="64" t="s">
        <v>162</v>
      </c>
      <c r="D33" s="58">
        <v>6</v>
      </c>
      <c r="E33" s="58" t="s">
        <v>51</v>
      </c>
      <c r="F33" s="58" t="s">
        <v>560</v>
      </c>
    </row>
    <row r="34" spans="1:6" x14ac:dyDescent="0.25">
      <c r="A34" s="58" t="s">
        <v>628</v>
      </c>
      <c r="B34" s="62" t="s">
        <v>520</v>
      </c>
      <c r="C34" s="64" t="s">
        <v>162</v>
      </c>
      <c r="D34" s="58">
        <v>8</v>
      </c>
      <c r="E34" s="58" t="s">
        <v>51</v>
      </c>
      <c r="F34" s="58"/>
    </row>
    <row r="35" spans="1:6" x14ac:dyDescent="0.25">
      <c r="A35" s="58" t="s">
        <v>629</v>
      </c>
      <c r="B35" s="62" t="s">
        <v>516</v>
      </c>
      <c r="C35" s="64" t="s">
        <v>162</v>
      </c>
      <c r="D35" s="58">
        <v>1</v>
      </c>
      <c r="E35" s="58" t="s">
        <v>51</v>
      </c>
      <c r="F35" s="58"/>
    </row>
    <row r="36" spans="1:6" x14ac:dyDescent="0.25">
      <c r="A36" s="58" t="s">
        <v>630</v>
      </c>
      <c r="B36" s="62">
        <v>49.9</v>
      </c>
      <c r="C36" s="64" t="s">
        <v>162</v>
      </c>
      <c r="D36" s="58">
        <v>4</v>
      </c>
      <c r="E36" s="58" t="s">
        <v>51</v>
      </c>
      <c r="F36" s="58"/>
    </row>
    <row r="37" spans="1:6" x14ac:dyDescent="0.25">
      <c r="A37" s="58" t="s">
        <v>631</v>
      </c>
      <c r="B37" s="62">
        <v>22</v>
      </c>
      <c r="C37" s="64" t="s">
        <v>162</v>
      </c>
      <c r="D37" s="58">
        <v>3</v>
      </c>
      <c r="E37" s="58" t="s">
        <v>51</v>
      </c>
      <c r="F37" s="58" t="s">
        <v>560</v>
      </c>
    </row>
    <row r="38" spans="1:6" x14ac:dyDescent="0.25">
      <c r="A38" s="58" t="s">
        <v>632</v>
      </c>
      <c r="B38" s="62">
        <v>51</v>
      </c>
      <c r="C38" s="64" t="s">
        <v>568</v>
      </c>
      <c r="D38" s="58">
        <v>3</v>
      </c>
      <c r="E38" s="58" t="s">
        <v>51</v>
      </c>
      <c r="F38" s="58"/>
    </row>
    <row r="39" spans="1:6" x14ac:dyDescent="0.25">
      <c r="A39" s="58" t="s">
        <v>633</v>
      </c>
      <c r="B39" s="62">
        <v>1</v>
      </c>
      <c r="C39" s="64" t="s">
        <v>162</v>
      </c>
      <c r="D39" s="58">
        <v>2</v>
      </c>
      <c r="E39" s="58" t="s">
        <v>51</v>
      </c>
      <c r="F39" s="58" t="s">
        <v>560</v>
      </c>
    </row>
    <row r="40" spans="1:6" x14ac:dyDescent="0.25">
      <c r="A40" s="58" t="s">
        <v>634</v>
      </c>
      <c r="B40" s="62">
        <v>47</v>
      </c>
      <c r="C40" s="64" t="s">
        <v>162</v>
      </c>
      <c r="D40" s="58">
        <v>1</v>
      </c>
      <c r="E40" s="58" t="s">
        <v>51</v>
      </c>
      <c r="F40" s="58" t="s">
        <v>560</v>
      </c>
    </row>
    <row r="41" spans="1:6" x14ac:dyDescent="0.25">
      <c r="A41" s="58" t="s">
        <v>635</v>
      </c>
      <c r="B41" s="62">
        <v>100</v>
      </c>
      <c r="C41" s="64" t="s">
        <v>162</v>
      </c>
      <c r="D41" s="58">
        <v>2</v>
      </c>
      <c r="E41" s="58" t="s">
        <v>51</v>
      </c>
      <c r="F41" s="58"/>
    </row>
    <row r="42" spans="1:6" x14ac:dyDescent="0.25">
      <c r="A42" s="58" t="s">
        <v>636</v>
      </c>
      <c r="B42" s="62">
        <v>52.3</v>
      </c>
      <c r="C42" s="64" t="s">
        <v>162</v>
      </c>
      <c r="D42" s="58">
        <v>2</v>
      </c>
      <c r="E42" s="58" t="s">
        <v>51</v>
      </c>
      <c r="F42" s="58"/>
    </row>
    <row r="43" spans="1:6" x14ac:dyDescent="0.25">
      <c r="A43" s="58" t="s">
        <v>637</v>
      </c>
      <c r="B43" s="62" t="s">
        <v>556</v>
      </c>
      <c r="C43" s="64" t="s">
        <v>162</v>
      </c>
      <c r="D43" s="58">
        <v>1</v>
      </c>
      <c r="E43" s="58" t="s">
        <v>51</v>
      </c>
      <c r="F43" s="58"/>
    </row>
    <row r="44" spans="1:6" x14ac:dyDescent="0.25">
      <c r="A44" s="58" t="s">
        <v>638</v>
      </c>
      <c r="B44" s="58" t="s">
        <v>639</v>
      </c>
      <c r="C44" s="58"/>
      <c r="D44" s="58">
        <v>1</v>
      </c>
      <c r="E44" s="58" t="s">
        <v>640</v>
      </c>
      <c r="F44" s="58"/>
    </row>
    <row r="45" spans="1:6" x14ac:dyDescent="0.25">
      <c r="A45" s="58" t="s">
        <v>641</v>
      </c>
      <c r="B45" s="58" t="s">
        <v>642</v>
      </c>
      <c r="C45" s="58"/>
      <c r="D45" s="58">
        <v>1</v>
      </c>
      <c r="E45" s="58" t="s">
        <v>640</v>
      </c>
      <c r="F45" s="58"/>
    </row>
    <row r="46" spans="1:6" x14ac:dyDescent="0.25">
      <c r="A46" s="58" t="s">
        <v>643</v>
      </c>
      <c r="B46" s="58" t="s">
        <v>644</v>
      </c>
      <c r="C46" s="58"/>
      <c r="D46" s="58">
        <v>1</v>
      </c>
      <c r="E46" s="58" t="s">
        <v>640</v>
      </c>
      <c r="F46" s="58"/>
    </row>
    <row r="47" spans="1:6" x14ac:dyDescent="0.25">
      <c r="A47" s="58" t="s">
        <v>645</v>
      </c>
      <c r="B47" s="58" t="s">
        <v>646</v>
      </c>
      <c r="C47" s="58"/>
      <c r="D47" s="58">
        <v>1</v>
      </c>
      <c r="E47" s="58" t="s">
        <v>640</v>
      </c>
      <c r="F47" s="58"/>
    </row>
    <row r="48" spans="1:6" x14ac:dyDescent="0.25">
      <c r="A48" s="58" t="s">
        <v>647</v>
      </c>
      <c r="B48" s="58" t="s">
        <v>648</v>
      </c>
      <c r="C48" s="58"/>
      <c r="D48" s="58">
        <v>1</v>
      </c>
      <c r="E48" s="58" t="s">
        <v>640</v>
      </c>
      <c r="F48" s="58"/>
    </row>
    <row r="49" spans="1:6" x14ac:dyDescent="0.25">
      <c r="A49" s="58" t="s">
        <v>649</v>
      </c>
      <c r="B49" s="58" t="s">
        <v>650</v>
      </c>
      <c r="C49" s="58"/>
      <c r="D49" s="58">
        <v>1</v>
      </c>
      <c r="E49" s="58" t="s">
        <v>640</v>
      </c>
      <c r="F49" s="58"/>
    </row>
    <row r="50" spans="1:6" x14ac:dyDescent="0.25">
      <c r="A50" s="58" t="s">
        <v>651</v>
      </c>
      <c r="B50" s="58" t="s">
        <v>652</v>
      </c>
      <c r="C50" s="58"/>
      <c r="D50" s="58">
        <v>1</v>
      </c>
      <c r="E50" s="58" t="s">
        <v>640</v>
      </c>
      <c r="F50" s="58"/>
    </row>
    <row r="51" spans="1:6" x14ac:dyDescent="0.25">
      <c r="A51" s="58" t="s">
        <v>653</v>
      </c>
      <c r="B51" s="58" t="s">
        <v>654</v>
      </c>
      <c r="C51" s="58"/>
      <c r="D51" s="58">
        <v>1</v>
      </c>
      <c r="E51" s="58" t="s">
        <v>640</v>
      </c>
      <c r="F51" s="58"/>
    </row>
    <row r="52" spans="1:6" x14ac:dyDescent="0.25">
      <c r="A52" s="58" t="s">
        <v>655</v>
      </c>
      <c r="B52" s="58" t="s">
        <v>656</v>
      </c>
      <c r="C52" s="58"/>
      <c r="D52" s="58">
        <v>6</v>
      </c>
      <c r="E52" s="58" t="s">
        <v>640</v>
      </c>
      <c r="F52" s="58"/>
    </row>
    <row r="53" spans="1:6" x14ac:dyDescent="0.25">
      <c r="A53" s="58" t="s">
        <v>657</v>
      </c>
      <c r="B53" s="58" t="s">
        <v>658</v>
      </c>
      <c r="C53" s="58"/>
      <c r="D53" s="58">
        <v>1</v>
      </c>
      <c r="E53" s="58" t="s">
        <v>640</v>
      </c>
      <c r="F53" s="58"/>
    </row>
    <row r="54" spans="1:6" x14ac:dyDescent="0.25">
      <c r="A54" s="58" t="s">
        <v>659</v>
      </c>
      <c r="B54" s="58" t="s">
        <v>660</v>
      </c>
      <c r="C54" s="58"/>
      <c r="D54" s="58">
        <v>1</v>
      </c>
      <c r="E54" s="58" t="s">
        <v>640</v>
      </c>
      <c r="F54" s="58"/>
    </row>
    <row r="55" spans="1:6" x14ac:dyDescent="0.25">
      <c r="A55" s="58" t="s">
        <v>661</v>
      </c>
      <c r="B55" s="58" t="s">
        <v>662</v>
      </c>
      <c r="C55" s="58"/>
      <c r="D55" s="58">
        <v>1</v>
      </c>
      <c r="E55" s="58" t="s">
        <v>640</v>
      </c>
      <c r="F55" s="58"/>
    </row>
    <row r="56" spans="1:6" x14ac:dyDescent="0.25">
      <c r="A56" s="58" t="s">
        <v>663</v>
      </c>
      <c r="B56" s="58" t="s">
        <v>664</v>
      </c>
      <c r="C56" s="58"/>
      <c r="D56" s="58">
        <v>1</v>
      </c>
      <c r="E56" s="58" t="s">
        <v>640</v>
      </c>
      <c r="F56" s="58"/>
    </row>
    <row r="57" spans="1:6" x14ac:dyDescent="0.25">
      <c r="A57" s="58" t="s">
        <v>665</v>
      </c>
      <c r="B57" s="58" t="s">
        <v>666</v>
      </c>
      <c r="C57" s="58"/>
      <c r="D57" s="58">
        <v>2</v>
      </c>
      <c r="E57" s="58" t="s">
        <v>640</v>
      </c>
      <c r="F57" s="58"/>
    </row>
    <row r="58" spans="1:6" x14ac:dyDescent="0.25">
      <c r="A58" s="58" t="s">
        <v>667</v>
      </c>
      <c r="B58" s="58" t="s">
        <v>668</v>
      </c>
      <c r="C58" s="58"/>
      <c r="D58" s="58">
        <v>3</v>
      </c>
      <c r="E58" s="58" t="s">
        <v>640</v>
      </c>
      <c r="F58" s="58"/>
    </row>
    <row r="59" spans="1:6" x14ac:dyDescent="0.25">
      <c r="A59" s="58" t="s">
        <v>669</v>
      </c>
      <c r="B59" s="58" t="s">
        <v>670</v>
      </c>
      <c r="C59" s="58"/>
      <c r="D59" s="58">
        <v>3</v>
      </c>
      <c r="E59" s="58" t="s">
        <v>640</v>
      </c>
      <c r="F59" s="58"/>
    </row>
    <row r="60" spans="1:6" x14ac:dyDescent="0.25">
      <c r="A60" s="58" t="s">
        <v>671</v>
      </c>
      <c r="B60" s="58" t="s">
        <v>672</v>
      </c>
      <c r="C60" s="58"/>
      <c r="D60" s="58">
        <v>3</v>
      </c>
      <c r="E60" s="58" t="s">
        <v>640</v>
      </c>
      <c r="F60" s="58"/>
    </row>
    <row r="61" spans="1:6" x14ac:dyDescent="0.25">
      <c r="A61" s="58" t="s">
        <v>673</v>
      </c>
      <c r="B61" s="58" t="s">
        <v>674</v>
      </c>
      <c r="C61" s="58"/>
      <c r="D61" s="58">
        <v>1</v>
      </c>
      <c r="E61" s="58" t="s">
        <v>640</v>
      </c>
      <c r="F61" s="58"/>
    </row>
    <row r="62" spans="1:6" x14ac:dyDescent="0.25">
      <c r="A62" s="58" t="s">
        <v>675</v>
      </c>
      <c r="B62" s="58" t="s">
        <v>676</v>
      </c>
      <c r="C62" s="58"/>
      <c r="D62" s="58">
        <v>1</v>
      </c>
      <c r="E62" s="58"/>
      <c r="F62" s="58"/>
    </row>
    <row r="63" spans="1:6" x14ac:dyDescent="0.25">
      <c r="A63" s="58" t="s">
        <v>677</v>
      </c>
      <c r="B63" s="58" t="s">
        <v>678</v>
      </c>
      <c r="C63" s="58"/>
      <c r="D63" s="58">
        <v>4</v>
      </c>
      <c r="E63" s="58"/>
      <c r="F63" s="58"/>
    </row>
    <row r="64" spans="1:6" x14ac:dyDescent="0.25">
      <c r="A64" s="58" t="s">
        <v>679</v>
      </c>
      <c r="B64" s="58" t="s">
        <v>153</v>
      </c>
      <c r="C64" s="58"/>
      <c r="D64" s="58">
        <v>1</v>
      </c>
      <c r="E64" s="58"/>
      <c r="F64" s="58"/>
    </row>
    <row r="65" spans="1:6" x14ac:dyDescent="0.25">
      <c r="A65" s="58" t="s">
        <v>680</v>
      </c>
      <c r="B65" s="58" t="s">
        <v>333</v>
      </c>
      <c r="C65" s="58"/>
      <c r="D65" s="58">
        <v>3</v>
      </c>
      <c r="E65" s="58"/>
      <c r="F65" s="58"/>
    </row>
    <row r="66" spans="1:6" x14ac:dyDescent="0.25">
      <c r="A66" s="58" t="s">
        <v>681</v>
      </c>
      <c r="B66" s="58" t="s">
        <v>29</v>
      </c>
      <c r="C66" s="58"/>
      <c r="D66" s="58">
        <v>1</v>
      </c>
      <c r="E66" s="58"/>
      <c r="F66" s="58"/>
    </row>
    <row r="67" spans="1:6" x14ac:dyDescent="0.25">
      <c r="A67" s="58" t="s">
        <v>682</v>
      </c>
      <c r="B67" s="58" t="s">
        <v>683</v>
      </c>
      <c r="C67" s="58" t="s">
        <v>684</v>
      </c>
      <c r="D67" s="58">
        <v>1</v>
      </c>
      <c r="E67" s="58" t="s">
        <v>685</v>
      </c>
      <c r="F67" s="58"/>
    </row>
  </sheetData>
  <conditionalFormatting sqref="C2:C67">
    <cfRule type="expression" dxfId="1" priority="1">
      <formula>C2="0805"</formula>
    </cfRule>
    <cfRule type="expression" dxfId="0" priority="2">
      <formula>C2="1206"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FB529D-74E7-4A28-A692-8992661AC75B}">
  <dimension ref="A1:Q31"/>
  <sheetViews>
    <sheetView workbookViewId="0">
      <pane xSplit="1" ySplit="1" topLeftCell="B4" activePane="bottomRight" state="frozen"/>
      <selection pane="topRight" activeCell="B1" sqref="B1"/>
      <selection pane="bottomLeft" activeCell="A2" sqref="A2"/>
      <selection pane="bottomRight" activeCell="D52" sqref="D52"/>
    </sheetView>
  </sheetViews>
  <sheetFormatPr defaultRowHeight="15" x14ac:dyDescent="0.25"/>
  <cols>
    <col min="1" max="1" width="9.140625" bestFit="1" customWidth="1"/>
    <col min="2" max="2" width="30.5703125" bestFit="1" customWidth="1"/>
    <col min="3" max="3" width="21.5703125" bestFit="1" customWidth="1"/>
    <col min="4" max="4" width="35.5703125" customWidth="1"/>
    <col min="7" max="7" width="10.28515625" bestFit="1" customWidth="1"/>
    <col min="9" max="9" width="16.5703125" customWidth="1"/>
    <col min="12" max="12" width="14.28515625" customWidth="1"/>
  </cols>
  <sheetData>
    <row r="1" spans="1:17" ht="30" x14ac:dyDescent="0.25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686</v>
      </c>
      <c r="G1" s="20" t="s">
        <v>6</v>
      </c>
      <c r="H1" s="20" t="s">
        <v>7</v>
      </c>
      <c r="I1" s="20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</row>
    <row r="2" spans="1:17" x14ac:dyDescent="0.25">
      <c r="A2">
        <v>1</v>
      </c>
      <c r="B2" s="17" t="s">
        <v>687</v>
      </c>
      <c r="C2" s="22" t="s">
        <v>688</v>
      </c>
      <c r="D2" s="22" t="s">
        <v>689</v>
      </c>
      <c r="F2" s="22">
        <v>12</v>
      </c>
      <c r="G2" s="22">
        <v>0.50600000000000001</v>
      </c>
      <c r="H2" s="22">
        <v>6.07</v>
      </c>
      <c r="I2" s="11">
        <f>H2*26190</f>
        <v>158973.30000000002</v>
      </c>
      <c r="O2" t="s">
        <v>299</v>
      </c>
      <c r="Q2" t="s">
        <v>690</v>
      </c>
    </row>
    <row r="3" spans="1:17" x14ac:dyDescent="0.25">
      <c r="A3">
        <v>2</v>
      </c>
      <c r="B3" s="22" t="s">
        <v>691</v>
      </c>
      <c r="C3" s="22" t="s">
        <v>692</v>
      </c>
      <c r="D3" s="22" t="s">
        <v>693</v>
      </c>
      <c r="F3" s="22">
        <v>12</v>
      </c>
      <c r="G3" s="22">
        <v>1.1479999999999999</v>
      </c>
      <c r="H3" s="22">
        <v>13.78</v>
      </c>
      <c r="I3" s="11">
        <f t="shared" ref="I3:I25" si="0">H3*26190</f>
        <v>360898.2</v>
      </c>
      <c r="O3" t="s">
        <v>299</v>
      </c>
      <c r="Q3" t="s">
        <v>690</v>
      </c>
    </row>
    <row r="4" spans="1:17" x14ac:dyDescent="0.25">
      <c r="A4">
        <v>3</v>
      </c>
      <c r="B4" s="22" t="s">
        <v>694</v>
      </c>
      <c r="C4" s="22" t="s">
        <v>695</v>
      </c>
      <c r="D4" s="22" t="s">
        <v>696</v>
      </c>
      <c r="F4" s="22">
        <v>6</v>
      </c>
      <c r="G4" s="22">
        <v>0.61</v>
      </c>
      <c r="H4" s="22">
        <v>3.66</v>
      </c>
      <c r="I4" s="11">
        <f t="shared" si="0"/>
        <v>95855.400000000009</v>
      </c>
      <c r="O4" t="s">
        <v>299</v>
      </c>
      <c r="Q4" t="s">
        <v>690</v>
      </c>
    </row>
    <row r="5" spans="1:17" x14ac:dyDescent="0.25">
      <c r="A5">
        <v>4</v>
      </c>
      <c r="B5" s="22" t="s">
        <v>697</v>
      </c>
      <c r="C5" s="22" t="s">
        <v>698</v>
      </c>
      <c r="D5" s="22" t="s">
        <v>699</v>
      </c>
      <c r="F5" s="22">
        <v>6</v>
      </c>
      <c r="G5" s="22">
        <v>0.67</v>
      </c>
      <c r="H5" s="22">
        <v>4.0199999999999996</v>
      </c>
      <c r="I5" s="11">
        <f t="shared" si="0"/>
        <v>105283.79999999999</v>
      </c>
      <c r="O5" t="s">
        <v>299</v>
      </c>
      <c r="Q5" t="s">
        <v>690</v>
      </c>
    </row>
    <row r="6" spans="1:17" x14ac:dyDescent="0.25">
      <c r="A6">
        <v>5</v>
      </c>
      <c r="B6" s="22" t="s">
        <v>700</v>
      </c>
      <c r="C6" s="22" t="s">
        <v>701</v>
      </c>
      <c r="D6" s="22" t="s">
        <v>702</v>
      </c>
      <c r="F6" s="22">
        <v>6</v>
      </c>
      <c r="G6" s="22">
        <v>0.46</v>
      </c>
      <c r="H6" s="22">
        <v>2.76</v>
      </c>
      <c r="I6" s="11">
        <f t="shared" si="0"/>
        <v>72284.399999999994</v>
      </c>
      <c r="O6" t="s">
        <v>299</v>
      </c>
      <c r="Q6" t="s">
        <v>690</v>
      </c>
    </row>
    <row r="7" spans="1:17" x14ac:dyDescent="0.25">
      <c r="A7">
        <v>6</v>
      </c>
      <c r="B7" s="22" t="s">
        <v>703</v>
      </c>
      <c r="C7" s="22" t="s">
        <v>704</v>
      </c>
      <c r="D7" s="22" t="s">
        <v>705</v>
      </c>
      <c r="F7" s="22">
        <v>6</v>
      </c>
      <c r="G7" s="22">
        <v>0.46</v>
      </c>
      <c r="H7" s="22">
        <v>2.76</v>
      </c>
      <c r="I7" s="11">
        <f t="shared" si="0"/>
        <v>72284.399999999994</v>
      </c>
      <c r="O7" t="s">
        <v>299</v>
      </c>
      <c r="Q7" t="s">
        <v>690</v>
      </c>
    </row>
    <row r="8" spans="1:17" x14ac:dyDescent="0.25">
      <c r="A8">
        <v>7</v>
      </c>
      <c r="B8" s="22" t="s">
        <v>706</v>
      </c>
      <c r="C8" s="22" t="s">
        <v>707</v>
      </c>
      <c r="D8" s="22" t="s">
        <v>708</v>
      </c>
      <c r="F8" s="22">
        <v>15</v>
      </c>
      <c r="G8" s="22">
        <v>1.2624</v>
      </c>
      <c r="H8" s="22">
        <v>37.869999999999997</v>
      </c>
      <c r="I8" s="11">
        <f t="shared" si="0"/>
        <v>991815.29999999993</v>
      </c>
      <c r="O8" t="s">
        <v>299</v>
      </c>
      <c r="Q8" t="s">
        <v>690</v>
      </c>
    </row>
    <row r="9" spans="1:17" x14ac:dyDescent="0.25">
      <c r="A9">
        <v>8</v>
      </c>
      <c r="B9" s="22" t="s">
        <v>709</v>
      </c>
      <c r="C9" s="22" t="s">
        <v>710</v>
      </c>
      <c r="D9" s="22" t="s">
        <v>711</v>
      </c>
      <c r="F9" s="22">
        <v>15</v>
      </c>
      <c r="G9" s="22">
        <v>4.7679999999999998</v>
      </c>
      <c r="H9" s="22">
        <v>71.52</v>
      </c>
      <c r="I9" s="11">
        <f t="shared" si="0"/>
        <v>1873108.7999999998</v>
      </c>
      <c r="O9" t="s">
        <v>299</v>
      </c>
      <c r="Q9" t="s">
        <v>690</v>
      </c>
    </row>
    <row r="10" spans="1:17" x14ac:dyDescent="0.25">
      <c r="A10">
        <v>9</v>
      </c>
      <c r="B10" s="22" t="s">
        <v>712</v>
      </c>
      <c r="C10" s="22" t="s">
        <v>713</v>
      </c>
      <c r="D10" s="22" t="s">
        <v>714</v>
      </c>
      <c r="F10" s="22">
        <v>10</v>
      </c>
      <c r="G10" s="22">
        <v>5.3999999999999999E-2</v>
      </c>
      <c r="H10" s="22">
        <v>0.54</v>
      </c>
      <c r="I10" s="11">
        <f t="shared" si="0"/>
        <v>14142.6</v>
      </c>
      <c r="O10" t="s">
        <v>299</v>
      </c>
      <c r="Q10" t="s">
        <v>690</v>
      </c>
    </row>
    <row r="11" spans="1:17" x14ac:dyDescent="0.25">
      <c r="A11">
        <v>10</v>
      </c>
      <c r="B11" s="22" t="s">
        <v>715</v>
      </c>
      <c r="C11" s="22" t="s">
        <v>716</v>
      </c>
      <c r="D11" s="22" t="s">
        <v>717</v>
      </c>
      <c r="E11" s="22"/>
      <c r="F11" s="22">
        <v>20</v>
      </c>
      <c r="G11" s="22">
        <v>0.27600000000000002</v>
      </c>
      <c r="H11" s="22">
        <v>5.52</v>
      </c>
      <c r="I11" s="11">
        <f t="shared" si="0"/>
        <v>144568.79999999999</v>
      </c>
      <c r="O11" t="s">
        <v>299</v>
      </c>
      <c r="Q11" t="s">
        <v>690</v>
      </c>
    </row>
    <row r="12" spans="1:17" x14ac:dyDescent="0.25">
      <c r="A12">
        <v>11</v>
      </c>
      <c r="B12" s="22" t="s">
        <v>718</v>
      </c>
      <c r="C12" s="22" t="s">
        <v>719</v>
      </c>
      <c r="D12" s="22" t="s">
        <v>720</v>
      </c>
      <c r="F12" s="22">
        <v>50</v>
      </c>
      <c r="G12" s="22">
        <v>1.6E-2</v>
      </c>
      <c r="H12" s="22">
        <v>0.8</v>
      </c>
      <c r="I12" s="11">
        <f t="shared" si="0"/>
        <v>20952</v>
      </c>
      <c r="O12" t="s">
        <v>299</v>
      </c>
      <c r="Q12" t="s">
        <v>690</v>
      </c>
    </row>
    <row r="13" spans="1:17" x14ac:dyDescent="0.25">
      <c r="A13">
        <v>12</v>
      </c>
      <c r="B13" s="22" t="s">
        <v>721</v>
      </c>
      <c r="C13" s="22" t="s">
        <v>722</v>
      </c>
      <c r="D13" s="22" t="s">
        <v>723</v>
      </c>
      <c r="F13" s="22">
        <v>50</v>
      </c>
      <c r="G13" s="22">
        <v>1.38E-2</v>
      </c>
      <c r="H13" s="22">
        <v>0.69</v>
      </c>
      <c r="I13" s="11">
        <f t="shared" si="0"/>
        <v>18071.099999999999</v>
      </c>
      <c r="O13" t="s">
        <v>299</v>
      </c>
      <c r="Q13" t="s">
        <v>690</v>
      </c>
    </row>
    <row r="14" spans="1:17" x14ac:dyDescent="0.25">
      <c r="A14">
        <v>13</v>
      </c>
      <c r="B14" s="22" t="s">
        <v>724</v>
      </c>
      <c r="C14" s="22" t="s">
        <v>725</v>
      </c>
      <c r="D14" s="22" t="s">
        <v>726</v>
      </c>
      <c r="F14" s="22">
        <v>50</v>
      </c>
      <c r="G14" s="22">
        <v>1.2E-2</v>
      </c>
      <c r="H14" s="22">
        <v>0.6</v>
      </c>
      <c r="I14" s="11">
        <f t="shared" si="0"/>
        <v>15714</v>
      </c>
      <c r="O14" t="s">
        <v>299</v>
      </c>
      <c r="Q14" t="s">
        <v>690</v>
      </c>
    </row>
    <row r="15" spans="1:17" x14ac:dyDescent="0.25">
      <c r="A15">
        <v>14</v>
      </c>
      <c r="B15" s="22" t="s">
        <v>727</v>
      </c>
      <c r="C15" s="22" t="s">
        <v>728</v>
      </c>
      <c r="D15" s="22" t="s">
        <v>729</v>
      </c>
      <c r="F15" s="22">
        <v>50</v>
      </c>
      <c r="G15" s="22">
        <v>1.2E-2</v>
      </c>
      <c r="H15" s="22">
        <v>0.6</v>
      </c>
      <c r="I15" s="11">
        <f t="shared" si="0"/>
        <v>15714</v>
      </c>
      <c r="O15" t="s">
        <v>299</v>
      </c>
      <c r="Q15" t="s">
        <v>690</v>
      </c>
    </row>
    <row r="16" spans="1:17" x14ac:dyDescent="0.25">
      <c r="A16">
        <v>15</v>
      </c>
      <c r="B16" s="22" t="s">
        <v>730</v>
      </c>
      <c r="C16" s="22" t="s">
        <v>731</v>
      </c>
      <c r="D16" s="22" t="s">
        <v>732</v>
      </c>
      <c r="F16" s="22">
        <v>50</v>
      </c>
      <c r="G16" s="22">
        <v>1.2E-2</v>
      </c>
      <c r="H16" s="22">
        <v>0.6</v>
      </c>
      <c r="I16" s="11">
        <f t="shared" si="0"/>
        <v>15714</v>
      </c>
      <c r="O16" t="s">
        <v>299</v>
      </c>
      <c r="Q16" t="s">
        <v>690</v>
      </c>
    </row>
    <row r="17" spans="1:17" x14ac:dyDescent="0.25">
      <c r="A17">
        <v>16</v>
      </c>
      <c r="B17" s="22" t="s">
        <v>733</v>
      </c>
      <c r="C17" s="22" t="s">
        <v>92</v>
      </c>
      <c r="D17" s="22" t="s">
        <v>93</v>
      </c>
      <c r="F17" s="22">
        <v>50</v>
      </c>
      <c r="G17" s="22">
        <v>1.38E-2</v>
      </c>
      <c r="H17" s="22">
        <v>0.69</v>
      </c>
      <c r="I17" s="11">
        <f t="shared" si="0"/>
        <v>18071.099999999999</v>
      </c>
      <c r="O17" t="s">
        <v>299</v>
      </c>
      <c r="Q17" t="s">
        <v>690</v>
      </c>
    </row>
    <row r="18" spans="1:17" x14ac:dyDescent="0.25">
      <c r="A18">
        <v>17</v>
      </c>
      <c r="B18" s="22" t="s">
        <v>721</v>
      </c>
      <c r="C18" s="22" t="s">
        <v>722</v>
      </c>
      <c r="D18" s="22" t="s">
        <v>723</v>
      </c>
      <c r="F18" s="22">
        <v>50</v>
      </c>
      <c r="G18" s="22">
        <v>1.38E-2</v>
      </c>
      <c r="H18" s="22">
        <v>0.69</v>
      </c>
      <c r="I18" s="11">
        <f t="shared" si="0"/>
        <v>18071.099999999999</v>
      </c>
      <c r="O18" t="s">
        <v>299</v>
      </c>
      <c r="Q18" t="s">
        <v>690</v>
      </c>
    </row>
    <row r="19" spans="1:17" x14ac:dyDescent="0.25">
      <c r="A19">
        <v>18</v>
      </c>
      <c r="B19" s="22" t="s">
        <v>734</v>
      </c>
      <c r="C19" s="22" t="s">
        <v>735</v>
      </c>
      <c r="D19" s="22" t="s">
        <v>736</v>
      </c>
      <c r="F19" s="22">
        <v>50</v>
      </c>
      <c r="G19" s="22">
        <v>7.7799999999999994E-2</v>
      </c>
      <c r="H19" s="22">
        <v>3.89</v>
      </c>
      <c r="I19" s="11">
        <f t="shared" si="0"/>
        <v>101879.1</v>
      </c>
      <c r="O19" t="s">
        <v>299</v>
      </c>
      <c r="Q19" t="s">
        <v>690</v>
      </c>
    </row>
    <row r="20" spans="1:17" x14ac:dyDescent="0.25">
      <c r="A20">
        <v>19</v>
      </c>
      <c r="B20" s="22" t="s">
        <v>737</v>
      </c>
      <c r="C20" s="22" t="s">
        <v>738</v>
      </c>
      <c r="D20" s="22" t="s">
        <v>106</v>
      </c>
      <c r="F20" s="22">
        <v>50</v>
      </c>
      <c r="G20" s="22">
        <v>2.3400000000000001E-2</v>
      </c>
      <c r="H20" s="22">
        <v>1.17</v>
      </c>
      <c r="I20" s="11">
        <f t="shared" si="0"/>
        <v>30642.3</v>
      </c>
      <c r="O20" t="s">
        <v>299</v>
      </c>
      <c r="Q20" t="s">
        <v>690</v>
      </c>
    </row>
    <row r="21" spans="1:17" x14ac:dyDescent="0.25">
      <c r="A21">
        <v>20</v>
      </c>
      <c r="B21" s="22" t="s">
        <v>236</v>
      </c>
      <c r="C21" s="22" t="s">
        <v>237</v>
      </c>
      <c r="D21" s="22" t="s">
        <v>238</v>
      </c>
      <c r="F21" s="22">
        <v>50</v>
      </c>
      <c r="G21" s="22">
        <v>4.7E-2</v>
      </c>
      <c r="H21" s="22">
        <v>2.35</v>
      </c>
      <c r="I21" s="11">
        <f t="shared" si="0"/>
        <v>61546.5</v>
      </c>
      <c r="O21" t="s">
        <v>299</v>
      </c>
      <c r="Q21" t="s">
        <v>690</v>
      </c>
    </row>
    <row r="22" spans="1:17" x14ac:dyDescent="0.25">
      <c r="A22">
        <v>21</v>
      </c>
      <c r="B22" s="22" t="s">
        <v>739</v>
      </c>
      <c r="C22" s="22" t="s">
        <v>740</v>
      </c>
      <c r="D22" s="22" t="s">
        <v>741</v>
      </c>
      <c r="F22" s="22">
        <v>50</v>
      </c>
      <c r="G22" s="22">
        <v>8.6599999999999996E-2</v>
      </c>
      <c r="H22" s="22">
        <v>4.33</v>
      </c>
      <c r="I22" s="11">
        <f t="shared" si="0"/>
        <v>113402.7</v>
      </c>
      <c r="O22" t="s">
        <v>299</v>
      </c>
      <c r="Q22" t="s">
        <v>690</v>
      </c>
    </row>
    <row r="23" spans="1:17" x14ac:dyDescent="0.25">
      <c r="A23">
        <v>22</v>
      </c>
      <c r="B23" s="22" t="s">
        <v>742</v>
      </c>
      <c r="C23" s="22" t="s">
        <v>743</v>
      </c>
      <c r="D23" s="22" t="s">
        <v>744</v>
      </c>
      <c r="F23" s="22">
        <v>30</v>
      </c>
      <c r="G23" s="22">
        <v>0.48199999999999998</v>
      </c>
      <c r="H23" s="22">
        <v>14.46</v>
      </c>
      <c r="I23" s="11">
        <f t="shared" si="0"/>
        <v>378707.4</v>
      </c>
      <c r="O23" t="s">
        <v>299</v>
      </c>
      <c r="Q23" t="s">
        <v>690</v>
      </c>
    </row>
    <row r="24" spans="1:17" x14ac:dyDescent="0.25">
      <c r="A24">
        <v>23</v>
      </c>
      <c r="B24" s="22" t="s">
        <v>715</v>
      </c>
      <c r="C24" s="22" t="s">
        <v>716</v>
      </c>
      <c r="D24" s="22" t="s">
        <v>717</v>
      </c>
      <c r="E24" s="22"/>
      <c r="F24" s="22">
        <v>20</v>
      </c>
      <c r="G24" s="22">
        <v>0.27600000000000002</v>
      </c>
      <c r="H24" s="22">
        <v>5.52</v>
      </c>
      <c r="I24" s="11">
        <f t="shared" si="0"/>
        <v>144568.79999999999</v>
      </c>
      <c r="O24" t="s">
        <v>299</v>
      </c>
      <c r="Q24" t="s">
        <v>690</v>
      </c>
    </row>
    <row r="25" spans="1:17" x14ac:dyDescent="0.25">
      <c r="A25">
        <v>24</v>
      </c>
      <c r="B25" s="150" t="s">
        <v>745</v>
      </c>
      <c r="C25" s="150" t="s">
        <v>746</v>
      </c>
      <c r="D25" s="150" t="s">
        <v>747</v>
      </c>
      <c r="E25" s="150"/>
      <c r="F25" s="150">
        <v>5</v>
      </c>
      <c r="G25" s="150">
        <v>5.88</v>
      </c>
      <c r="H25" s="150">
        <v>17.64</v>
      </c>
      <c r="I25" s="11">
        <f t="shared" si="0"/>
        <v>461991.60000000003</v>
      </c>
      <c r="J25" s="150"/>
      <c r="O25" t="s">
        <v>299</v>
      </c>
      <c r="Q25" t="s">
        <v>690</v>
      </c>
    </row>
    <row r="31" spans="1:17" x14ac:dyDescent="0.25">
      <c r="G31" t="s">
        <v>748</v>
      </c>
      <c r="H31">
        <f>SUM(H2:H25)</f>
        <v>202.52999999999997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D4A93A-85FC-4406-9242-665F6B92E052}">
  <dimension ref="A1:Q36"/>
  <sheetViews>
    <sheetView zoomScale="115" zoomScaleNormal="115" workbookViewId="0">
      <selection activeCell="A2" sqref="A2:A34"/>
    </sheetView>
  </sheetViews>
  <sheetFormatPr defaultRowHeight="15" x14ac:dyDescent="0.25"/>
  <cols>
    <col min="1" max="1" width="9.140625" style="23"/>
    <col min="2" max="2" width="27.85546875" style="23" customWidth="1"/>
    <col min="3" max="3" width="23" style="23" customWidth="1"/>
    <col min="4" max="4" width="35" style="23" customWidth="1"/>
    <col min="5" max="5" width="28.140625" style="23" customWidth="1"/>
    <col min="6" max="6" width="9.140625" style="23"/>
    <col min="7" max="7" width="17.140625" style="23" customWidth="1"/>
    <col min="8" max="8" width="14.28515625" style="23" customWidth="1"/>
    <col min="9" max="9" width="17.140625" style="23" customWidth="1"/>
    <col min="10" max="11" width="9.140625" style="23"/>
    <col min="12" max="12" width="15" style="23" customWidth="1"/>
    <col min="13" max="13" width="15" style="23" bestFit="1" customWidth="1"/>
    <col min="14" max="14" width="18" style="23" bestFit="1" customWidth="1"/>
    <col min="15" max="16384" width="9.140625" style="23"/>
  </cols>
  <sheetData>
    <row r="1" spans="1:17" ht="30" x14ac:dyDescent="0.25">
      <c r="A1" s="18" t="s">
        <v>0</v>
      </c>
      <c r="B1" s="19" t="s">
        <v>1</v>
      </c>
      <c r="C1" s="19" t="s">
        <v>2</v>
      </c>
      <c r="D1" s="20" t="s">
        <v>3</v>
      </c>
      <c r="E1" s="19" t="s">
        <v>4</v>
      </c>
      <c r="F1" s="19" t="s">
        <v>686</v>
      </c>
      <c r="G1" s="20" t="s">
        <v>6</v>
      </c>
      <c r="H1" s="20" t="s">
        <v>7</v>
      </c>
      <c r="I1" s="20" t="s">
        <v>8</v>
      </c>
      <c r="J1" s="19" t="s">
        <v>9</v>
      </c>
      <c r="K1" s="19" t="s">
        <v>10</v>
      </c>
      <c r="L1" s="19" t="s">
        <v>11</v>
      </c>
      <c r="M1" s="19" t="s">
        <v>12</v>
      </c>
      <c r="N1" s="19" t="s">
        <v>13</v>
      </c>
      <c r="O1" s="19" t="s">
        <v>14</v>
      </c>
      <c r="P1" s="19" t="s">
        <v>15</v>
      </c>
      <c r="Q1" s="19" t="s">
        <v>16</v>
      </c>
    </row>
    <row r="2" spans="1:17" s="139" customFormat="1" x14ac:dyDescent="0.25">
      <c r="A2" s="5">
        <v>1</v>
      </c>
      <c r="B2" s="5" t="s">
        <v>749</v>
      </c>
      <c r="C2" s="5" t="s">
        <v>750</v>
      </c>
      <c r="D2" s="5" t="s">
        <v>751</v>
      </c>
      <c r="E2" s="43" t="s">
        <v>752</v>
      </c>
      <c r="F2" s="44">
        <v>3</v>
      </c>
      <c r="G2" s="5">
        <v>10.39</v>
      </c>
      <c r="H2" s="4">
        <f t="shared" ref="H2:H34" si="0">G2*F2</f>
        <v>31.17</v>
      </c>
      <c r="I2" s="45">
        <f t="shared" ref="I2:I34" si="1">H2*26190</f>
        <v>816342.3</v>
      </c>
      <c r="J2" s="7" t="s">
        <v>21</v>
      </c>
      <c r="K2" s="7" t="s">
        <v>22</v>
      </c>
      <c r="L2" s="7" t="s">
        <v>21</v>
      </c>
      <c r="M2" s="7" t="s">
        <v>753</v>
      </c>
      <c r="N2" s="5" t="s">
        <v>24</v>
      </c>
      <c r="O2" s="5" t="s">
        <v>299</v>
      </c>
      <c r="P2" s="5"/>
      <c r="Q2" s="5"/>
    </row>
    <row r="3" spans="1:17" x14ac:dyDescent="0.25">
      <c r="A3" s="34">
        <v>2</v>
      </c>
      <c r="B3" s="32" t="s">
        <v>754</v>
      </c>
      <c r="C3" s="32" t="s">
        <v>754</v>
      </c>
      <c r="D3" s="32" t="s">
        <v>755</v>
      </c>
      <c r="E3" s="55" t="s">
        <v>756</v>
      </c>
      <c r="F3" s="33">
        <v>10</v>
      </c>
      <c r="G3" s="34">
        <v>0.43</v>
      </c>
      <c r="H3" s="35">
        <f t="shared" si="0"/>
        <v>4.3</v>
      </c>
      <c r="I3" s="36">
        <f t="shared" si="1"/>
        <v>112617</v>
      </c>
      <c r="J3" s="34" t="s">
        <v>757</v>
      </c>
      <c r="K3" s="34" t="s">
        <v>758</v>
      </c>
      <c r="L3" s="34" t="s">
        <v>759</v>
      </c>
      <c r="M3" s="52"/>
      <c r="N3" s="54" t="s">
        <v>760</v>
      </c>
      <c r="O3" s="34" t="s">
        <v>761</v>
      </c>
      <c r="P3" s="34"/>
      <c r="Q3" s="34"/>
    </row>
    <row r="4" spans="1:17" x14ac:dyDescent="0.25">
      <c r="A4" s="5">
        <v>3</v>
      </c>
      <c r="B4" s="38" t="s">
        <v>762</v>
      </c>
      <c r="C4" s="38" t="s">
        <v>763</v>
      </c>
      <c r="D4" s="38" t="s">
        <v>764</v>
      </c>
      <c r="E4" s="55" t="s">
        <v>765</v>
      </c>
      <c r="F4" s="39">
        <v>10</v>
      </c>
      <c r="G4" s="151">
        <v>0.46</v>
      </c>
      <c r="H4" s="40">
        <f t="shared" si="0"/>
        <v>4.6000000000000005</v>
      </c>
      <c r="I4" s="41">
        <f t="shared" si="1"/>
        <v>120474.00000000001</v>
      </c>
      <c r="J4" s="42" t="s">
        <v>21</v>
      </c>
      <c r="K4" s="42" t="s">
        <v>22</v>
      </c>
      <c r="L4" s="42" t="s">
        <v>21</v>
      </c>
      <c r="M4" s="42" t="s">
        <v>766</v>
      </c>
      <c r="N4" s="37" t="s">
        <v>199</v>
      </c>
      <c r="O4" s="37"/>
      <c r="P4" s="37"/>
      <c r="Q4" s="37" t="s">
        <v>767</v>
      </c>
    </row>
    <row r="5" spans="1:17" x14ac:dyDescent="0.25">
      <c r="A5" s="34">
        <v>4</v>
      </c>
      <c r="B5" s="141" t="s">
        <v>768</v>
      </c>
      <c r="C5" s="141" t="s">
        <v>769</v>
      </c>
      <c r="D5" s="141" t="s">
        <v>770</v>
      </c>
      <c r="E5" s="51" t="s">
        <v>771</v>
      </c>
      <c r="F5" s="24">
        <v>10</v>
      </c>
      <c r="G5" s="1">
        <v>0.22</v>
      </c>
      <c r="H5" s="2">
        <f t="shared" si="0"/>
        <v>2.2000000000000002</v>
      </c>
      <c r="I5" s="10">
        <f t="shared" si="1"/>
        <v>57618.000000000007</v>
      </c>
      <c r="J5" s="1" t="s">
        <v>772</v>
      </c>
      <c r="K5" s="1" t="s">
        <v>773</v>
      </c>
      <c r="L5" s="46">
        <v>0.01</v>
      </c>
      <c r="M5" s="9" t="s">
        <v>568</v>
      </c>
      <c r="N5" s="1" t="s">
        <v>51</v>
      </c>
      <c r="O5" s="5" t="s">
        <v>299</v>
      </c>
      <c r="P5" s="1"/>
      <c r="Q5" s="1"/>
    </row>
    <row r="6" spans="1:17" x14ac:dyDescent="0.25">
      <c r="A6" s="5">
        <v>5</v>
      </c>
      <c r="B6" s="141" t="s">
        <v>774</v>
      </c>
      <c r="C6" s="141" t="s">
        <v>775</v>
      </c>
      <c r="D6" s="141" t="s">
        <v>776</v>
      </c>
      <c r="E6" s="51" t="s">
        <v>777</v>
      </c>
      <c r="F6" s="24">
        <v>10</v>
      </c>
      <c r="G6" s="1">
        <v>0.1</v>
      </c>
      <c r="H6" s="2">
        <f t="shared" si="0"/>
        <v>1</v>
      </c>
      <c r="I6" s="10">
        <f t="shared" si="1"/>
        <v>26190</v>
      </c>
      <c r="J6" s="1" t="s">
        <v>778</v>
      </c>
      <c r="K6" s="1" t="s">
        <v>773</v>
      </c>
      <c r="L6" s="1" t="s">
        <v>779</v>
      </c>
      <c r="M6" s="9" t="s">
        <v>162</v>
      </c>
      <c r="N6" s="1" t="s">
        <v>51</v>
      </c>
      <c r="O6" s="1"/>
      <c r="P6" s="1"/>
      <c r="Q6" s="1"/>
    </row>
    <row r="7" spans="1:17" x14ac:dyDescent="0.25">
      <c r="A7" s="34">
        <v>6</v>
      </c>
      <c r="B7" s="140" t="s">
        <v>780</v>
      </c>
      <c r="C7" s="140" t="s">
        <v>780</v>
      </c>
      <c r="D7" s="140" t="s">
        <v>781</v>
      </c>
      <c r="E7" s="134" t="s">
        <v>782</v>
      </c>
      <c r="F7" s="135">
        <v>10</v>
      </c>
      <c r="G7" s="133">
        <v>0.14030000000000001</v>
      </c>
      <c r="H7" s="136">
        <f t="shared" si="0"/>
        <v>1.403</v>
      </c>
      <c r="I7" s="137">
        <f t="shared" si="1"/>
        <v>36744.57</v>
      </c>
      <c r="J7" s="133" t="s">
        <v>783</v>
      </c>
      <c r="K7" s="133" t="s">
        <v>784</v>
      </c>
      <c r="L7" s="133" t="s">
        <v>785</v>
      </c>
      <c r="M7" s="138" t="s">
        <v>568</v>
      </c>
      <c r="N7" s="133" t="s">
        <v>786</v>
      </c>
      <c r="O7" s="133"/>
      <c r="P7" s="133"/>
      <c r="Q7" s="133"/>
    </row>
    <row r="8" spans="1:17" s="139" customFormat="1" x14ac:dyDescent="0.25">
      <c r="A8" s="5">
        <v>7</v>
      </c>
      <c r="B8" s="141" t="s">
        <v>787</v>
      </c>
      <c r="C8" s="141" t="s">
        <v>788</v>
      </c>
      <c r="D8" s="141" t="s">
        <v>110</v>
      </c>
      <c r="E8" s="55" t="s">
        <v>789</v>
      </c>
      <c r="F8" s="24">
        <v>10</v>
      </c>
      <c r="G8" s="1">
        <v>0.1</v>
      </c>
      <c r="H8" s="2">
        <f t="shared" si="0"/>
        <v>1</v>
      </c>
      <c r="I8" s="10">
        <f t="shared" si="1"/>
        <v>26190</v>
      </c>
      <c r="J8" s="1" t="s">
        <v>373</v>
      </c>
      <c r="K8" s="1" t="s">
        <v>784</v>
      </c>
      <c r="L8" s="1" t="s">
        <v>785</v>
      </c>
      <c r="M8" s="9" t="s">
        <v>162</v>
      </c>
      <c r="N8" s="1" t="s">
        <v>786</v>
      </c>
      <c r="O8" s="1"/>
      <c r="P8" s="1"/>
      <c r="Q8" s="1"/>
    </row>
    <row r="9" spans="1:17" x14ac:dyDescent="0.25">
      <c r="A9" s="34">
        <v>8</v>
      </c>
      <c r="B9" s="141" t="s">
        <v>790</v>
      </c>
      <c r="C9" s="141" t="s">
        <v>791</v>
      </c>
      <c r="D9" s="141" t="s">
        <v>792</v>
      </c>
      <c r="E9" s="51" t="s">
        <v>793</v>
      </c>
      <c r="F9" s="24">
        <v>10</v>
      </c>
      <c r="G9" s="1">
        <v>0.59</v>
      </c>
      <c r="H9" s="2">
        <f t="shared" si="0"/>
        <v>5.8999999999999995</v>
      </c>
      <c r="I9" s="10">
        <f t="shared" si="1"/>
        <v>154521</v>
      </c>
      <c r="J9" s="1" t="s">
        <v>783</v>
      </c>
      <c r="K9" s="1" t="s">
        <v>784</v>
      </c>
      <c r="L9" s="1" t="s">
        <v>785</v>
      </c>
      <c r="M9" s="8">
        <v>1210</v>
      </c>
      <c r="N9" s="1" t="s">
        <v>786</v>
      </c>
      <c r="O9" s="1"/>
      <c r="P9" s="1"/>
      <c r="Q9" s="1"/>
    </row>
    <row r="10" spans="1:17" x14ac:dyDescent="0.25">
      <c r="A10" s="5">
        <v>9</v>
      </c>
      <c r="B10" s="141" t="s">
        <v>794</v>
      </c>
      <c r="C10" s="141" t="s">
        <v>795</v>
      </c>
      <c r="D10" s="141" t="s">
        <v>796</v>
      </c>
      <c r="E10" s="51" t="s">
        <v>797</v>
      </c>
      <c r="F10" s="24">
        <v>10</v>
      </c>
      <c r="G10" s="1">
        <v>1.37</v>
      </c>
      <c r="H10" s="2">
        <f t="shared" si="0"/>
        <v>13.700000000000001</v>
      </c>
      <c r="I10" s="10">
        <f t="shared" si="1"/>
        <v>358803</v>
      </c>
      <c r="J10" s="1" t="s">
        <v>798</v>
      </c>
      <c r="K10" s="1" t="s">
        <v>784</v>
      </c>
      <c r="L10" s="1" t="s">
        <v>799</v>
      </c>
      <c r="M10" s="8">
        <v>1206</v>
      </c>
      <c r="N10" s="1" t="s">
        <v>786</v>
      </c>
      <c r="O10" s="1"/>
      <c r="P10" s="1"/>
      <c r="Q10" s="1"/>
    </row>
    <row r="11" spans="1:17" x14ac:dyDescent="0.25">
      <c r="A11" s="34">
        <v>10</v>
      </c>
      <c r="B11" s="142" t="s">
        <v>800</v>
      </c>
      <c r="C11" s="142" t="s">
        <v>801</v>
      </c>
      <c r="D11" s="142" t="s">
        <v>802</v>
      </c>
      <c r="E11" s="51" t="s">
        <v>803</v>
      </c>
      <c r="F11" s="25">
        <v>10</v>
      </c>
      <c r="G11" s="1">
        <v>2.86</v>
      </c>
      <c r="H11" s="2">
        <f t="shared" si="0"/>
        <v>28.599999999999998</v>
      </c>
      <c r="I11" s="10">
        <f t="shared" si="1"/>
        <v>749034</v>
      </c>
      <c r="J11" s="1"/>
      <c r="K11" s="1"/>
      <c r="L11" s="1"/>
      <c r="M11" s="8"/>
      <c r="N11" s="1"/>
      <c r="O11" s="1"/>
      <c r="P11" s="1"/>
      <c r="Q11" s="1"/>
    </row>
    <row r="12" spans="1:17" x14ac:dyDescent="0.25">
      <c r="A12" s="5">
        <v>11</v>
      </c>
      <c r="B12" s="142" t="s">
        <v>804</v>
      </c>
      <c r="C12" s="142" t="s">
        <v>804</v>
      </c>
      <c r="D12" s="142" t="s">
        <v>805</v>
      </c>
      <c r="E12" s="3" t="s">
        <v>806</v>
      </c>
      <c r="F12" s="25">
        <v>10</v>
      </c>
      <c r="G12" s="1">
        <v>7.0000000000000007E-2</v>
      </c>
      <c r="H12" s="2">
        <f t="shared" si="0"/>
        <v>0.70000000000000007</v>
      </c>
      <c r="I12" s="10">
        <f t="shared" si="1"/>
        <v>18333</v>
      </c>
      <c r="J12" s="1" t="s">
        <v>807</v>
      </c>
      <c r="K12" s="1" t="s">
        <v>773</v>
      </c>
      <c r="L12" s="1" t="s">
        <v>779</v>
      </c>
      <c r="M12" s="9" t="s">
        <v>162</v>
      </c>
      <c r="N12" s="1" t="s">
        <v>51</v>
      </c>
      <c r="O12" s="1"/>
      <c r="P12" s="1"/>
      <c r="Q12" s="1"/>
    </row>
    <row r="13" spans="1:17" x14ac:dyDescent="0.25">
      <c r="A13" s="34">
        <v>12</v>
      </c>
      <c r="B13" s="142" t="s">
        <v>808</v>
      </c>
      <c r="C13" s="142" t="s">
        <v>808</v>
      </c>
      <c r="D13" s="142" t="s">
        <v>809</v>
      </c>
      <c r="E13" s="3" t="s">
        <v>810</v>
      </c>
      <c r="F13" s="25">
        <v>10</v>
      </c>
      <c r="G13" s="1">
        <v>7.0000000000000007E-2</v>
      </c>
      <c r="H13" s="2">
        <f t="shared" si="0"/>
        <v>0.70000000000000007</v>
      </c>
      <c r="I13" s="10">
        <f t="shared" si="1"/>
        <v>18333</v>
      </c>
      <c r="J13" s="1" t="s">
        <v>517</v>
      </c>
      <c r="K13" s="1" t="s">
        <v>773</v>
      </c>
      <c r="L13" s="1" t="s">
        <v>779</v>
      </c>
      <c r="M13" s="9" t="s">
        <v>162</v>
      </c>
      <c r="N13" s="1" t="s">
        <v>51</v>
      </c>
      <c r="O13" s="1"/>
      <c r="P13" s="1"/>
      <c r="Q13" s="1"/>
    </row>
    <row r="14" spans="1:17" x14ac:dyDescent="0.25">
      <c r="A14" s="5">
        <v>13</v>
      </c>
      <c r="B14" s="142" t="s">
        <v>787</v>
      </c>
      <c r="C14" s="142" t="s">
        <v>788</v>
      </c>
      <c r="D14" s="142" t="s">
        <v>110</v>
      </c>
      <c r="E14" s="3" t="s">
        <v>789</v>
      </c>
      <c r="F14" s="25">
        <v>10</v>
      </c>
      <c r="G14" s="1">
        <v>0.04</v>
      </c>
      <c r="H14" s="2">
        <f t="shared" si="0"/>
        <v>0.4</v>
      </c>
      <c r="I14" s="10">
        <f t="shared" si="1"/>
        <v>10476</v>
      </c>
      <c r="J14" s="1" t="s">
        <v>373</v>
      </c>
      <c r="K14" s="1" t="s">
        <v>784</v>
      </c>
      <c r="L14" s="1"/>
      <c r="M14" s="9" t="s">
        <v>162</v>
      </c>
      <c r="N14" s="1" t="s">
        <v>786</v>
      </c>
      <c r="O14" s="1"/>
      <c r="P14" s="1"/>
      <c r="Q14" s="1"/>
    </row>
    <row r="15" spans="1:17" x14ac:dyDescent="0.25">
      <c r="A15" s="34">
        <v>14</v>
      </c>
      <c r="B15" s="142" t="s">
        <v>811</v>
      </c>
      <c r="C15" s="142" t="s">
        <v>812</v>
      </c>
      <c r="D15" s="142" t="s">
        <v>813</v>
      </c>
      <c r="E15" s="3" t="s">
        <v>814</v>
      </c>
      <c r="F15" s="25">
        <v>10</v>
      </c>
      <c r="G15" s="1">
        <v>0.2</v>
      </c>
      <c r="H15" s="2">
        <f t="shared" si="0"/>
        <v>2</v>
      </c>
      <c r="I15" s="10">
        <f t="shared" si="1"/>
        <v>52380</v>
      </c>
      <c r="J15" s="1" t="s">
        <v>567</v>
      </c>
      <c r="K15" s="1" t="s">
        <v>784</v>
      </c>
      <c r="L15" s="1"/>
      <c r="M15" s="9" t="s">
        <v>568</v>
      </c>
      <c r="N15" s="1" t="s">
        <v>786</v>
      </c>
      <c r="O15" s="1"/>
      <c r="P15" s="1"/>
      <c r="Q15" s="1"/>
    </row>
    <row r="16" spans="1:17" x14ac:dyDescent="0.25">
      <c r="A16" s="5">
        <v>15</v>
      </c>
      <c r="B16" s="140" t="s">
        <v>815</v>
      </c>
      <c r="C16" s="140" t="s">
        <v>815</v>
      </c>
      <c r="D16" s="140" t="s">
        <v>816</v>
      </c>
      <c r="E16" s="132" t="s">
        <v>817</v>
      </c>
      <c r="F16" s="135">
        <v>10</v>
      </c>
      <c r="G16" s="133">
        <v>0.3</v>
      </c>
      <c r="H16" s="136">
        <f t="shared" si="0"/>
        <v>3</v>
      </c>
      <c r="I16" s="137">
        <f t="shared" si="1"/>
        <v>78570</v>
      </c>
      <c r="J16" s="133"/>
      <c r="K16" s="133"/>
      <c r="L16" s="133"/>
      <c r="M16" s="108"/>
      <c r="N16" s="133"/>
      <c r="O16" s="133"/>
      <c r="P16" s="133"/>
      <c r="Q16" s="133"/>
    </row>
    <row r="17" spans="1:17" x14ac:dyDescent="0.25">
      <c r="A17" s="34">
        <v>16</v>
      </c>
      <c r="B17" s="140" t="s">
        <v>818</v>
      </c>
      <c r="C17" s="140" t="s">
        <v>818</v>
      </c>
      <c r="D17" s="140" t="s">
        <v>819</v>
      </c>
      <c r="E17" s="132" t="s">
        <v>820</v>
      </c>
      <c r="F17" s="135">
        <v>10</v>
      </c>
      <c r="G17" s="133">
        <v>0.2</v>
      </c>
      <c r="H17" s="136">
        <f t="shared" si="0"/>
        <v>2</v>
      </c>
      <c r="I17" s="137">
        <f t="shared" si="1"/>
        <v>52380</v>
      </c>
      <c r="J17" s="133" t="s">
        <v>757</v>
      </c>
      <c r="K17" s="133" t="s">
        <v>784</v>
      </c>
      <c r="L17" s="133"/>
      <c r="M17" s="138" t="s">
        <v>568</v>
      </c>
      <c r="N17" s="133" t="s">
        <v>786</v>
      </c>
      <c r="O17" s="133"/>
      <c r="P17" s="133"/>
      <c r="Q17" s="133"/>
    </row>
    <row r="18" spans="1:17" x14ac:dyDescent="0.25">
      <c r="A18" s="5">
        <v>17</v>
      </c>
      <c r="B18" s="143" t="s">
        <v>821</v>
      </c>
      <c r="C18" s="143" t="s">
        <v>821</v>
      </c>
      <c r="D18" s="143" t="s">
        <v>822</v>
      </c>
      <c r="E18" s="3" t="s">
        <v>823</v>
      </c>
      <c r="F18" s="26">
        <v>3</v>
      </c>
      <c r="G18" s="1">
        <v>15.25</v>
      </c>
      <c r="H18" s="2">
        <f t="shared" si="0"/>
        <v>45.75</v>
      </c>
      <c r="I18" s="10">
        <f t="shared" si="1"/>
        <v>1198192.5</v>
      </c>
      <c r="J18" s="1"/>
      <c r="K18" s="1"/>
      <c r="L18" s="1"/>
      <c r="M18" s="8"/>
      <c r="N18" s="1"/>
      <c r="O18" s="1"/>
      <c r="P18" s="1"/>
      <c r="Q18" s="1"/>
    </row>
    <row r="19" spans="1:17" x14ac:dyDescent="0.25">
      <c r="A19" s="34">
        <v>18</v>
      </c>
      <c r="B19" s="143" t="s">
        <v>824</v>
      </c>
      <c r="C19" s="143" t="s">
        <v>824</v>
      </c>
      <c r="D19" s="143" t="s">
        <v>825</v>
      </c>
      <c r="E19" s="3" t="s">
        <v>826</v>
      </c>
      <c r="F19" s="26">
        <v>3</v>
      </c>
      <c r="G19" s="1">
        <v>10.7</v>
      </c>
      <c r="H19" s="2">
        <f t="shared" si="0"/>
        <v>32.099999999999994</v>
      </c>
      <c r="I19" s="10">
        <f t="shared" si="1"/>
        <v>840698.99999999988</v>
      </c>
      <c r="J19" s="1"/>
      <c r="K19" s="1"/>
      <c r="L19" s="1"/>
      <c r="M19" s="8"/>
      <c r="N19" s="1"/>
      <c r="O19" s="1"/>
      <c r="P19" s="1"/>
      <c r="Q19" s="1"/>
    </row>
    <row r="20" spans="1:17" x14ac:dyDescent="0.25">
      <c r="A20" s="5">
        <v>19</v>
      </c>
      <c r="B20" s="143" t="s">
        <v>827</v>
      </c>
      <c r="C20" s="143" t="s">
        <v>827</v>
      </c>
      <c r="D20" s="143" t="s">
        <v>828</v>
      </c>
      <c r="E20" s="3" t="s">
        <v>829</v>
      </c>
      <c r="F20" s="26">
        <v>10</v>
      </c>
      <c r="G20" s="1">
        <v>0.1</v>
      </c>
      <c r="H20" s="2">
        <f t="shared" si="0"/>
        <v>1</v>
      </c>
      <c r="I20" s="10">
        <f t="shared" si="1"/>
        <v>26190</v>
      </c>
      <c r="J20" s="1">
        <v>499</v>
      </c>
      <c r="K20" s="1" t="s">
        <v>773</v>
      </c>
      <c r="L20" s="1" t="s">
        <v>779</v>
      </c>
      <c r="M20" s="9" t="s">
        <v>568</v>
      </c>
      <c r="N20" s="1" t="s">
        <v>51</v>
      </c>
      <c r="O20" s="1"/>
      <c r="P20" s="1"/>
      <c r="Q20" s="1"/>
    </row>
    <row r="21" spans="1:17" x14ac:dyDescent="0.25">
      <c r="A21" s="34">
        <v>20</v>
      </c>
      <c r="B21" s="143" t="s">
        <v>830</v>
      </c>
      <c r="C21" s="143" t="s">
        <v>830</v>
      </c>
      <c r="D21" s="143" t="s">
        <v>831</v>
      </c>
      <c r="E21" s="3" t="s">
        <v>832</v>
      </c>
      <c r="F21" s="26">
        <v>10</v>
      </c>
      <c r="G21" s="1">
        <v>7.0000000000000007E-2</v>
      </c>
      <c r="H21" s="2">
        <f t="shared" si="0"/>
        <v>0.70000000000000007</v>
      </c>
      <c r="I21" s="10">
        <f t="shared" si="1"/>
        <v>18333</v>
      </c>
      <c r="J21" s="1" t="s">
        <v>833</v>
      </c>
      <c r="K21" s="1" t="s">
        <v>784</v>
      </c>
      <c r="L21" s="1"/>
      <c r="M21" s="9" t="s">
        <v>568</v>
      </c>
      <c r="N21" s="1" t="s">
        <v>786</v>
      </c>
      <c r="O21" s="1"/>
      <c r="P21" s="1"/>
      <c r="Q21" s="1"/>
    </row>
    <row r="22" spans="1:17" x14ac:dyDescent="0.25">
      <c r="A22" s="5">
        <v>21</v>
      </c>
      <c r="B22" s="143" t="s">
        <v>834</v>
      </c>
      <c r="C22" s="143" t="s">
        <v>834</v>
      </c>
      <c r="D22" s="143" t="s">
        <v>835</v>
      </c>
      <c r="E22" s="3" t="s">
        <v>836</v>
      </c>
      <c r="F22" s="26">
        <v>10</v>
      </c>
      <c r="G22" s="1">
        <v>7.0000000000000007E-2</v>
      </c>
      <c r="H22" s="2">
        <f t="shared" si="0"/>
        <v>0.70000000000000007</v>
      </c>
      <c r="I22" s="10">
        <f t="shared" si="1"/>
        <v>18333</v>
      </c>
      <c r="J22" s="1" t="s">
        <v>583</v>
      </c>
      <c r="K22" s="1" t="s">
        <v>784</v>
      </c>
      <c r="L22" s="1"/>
      <c r="M22" s="9" t="s">
        <v>568</v>
      </c>
      <c r="N22" s="1" t="s">
        <v>786</v>
      </c>
      <c r="O22" s="1"/>
      <c r="P22" s="1"/>
      <c r="Q22" s="1"/>
    </row>
    <row r="23" spans="1:17" x14ac:dyDescent="0.25">
      <c r="A23" s="34">
        <v>22</v>
      </c>
      <c r="B23" s="144" t="s">
        <v>837</v>
      </c>
      <c r="C23" s="144" t="s">
        <v>837</v>
      </c>
      <c r="D23" s="144" t="s">
        <v>838</v>
      </c>
      <c r="E23" s="3" t="s">
        <v>839</v>
      </c>
      <c r="F23" s="27">
        <v>5</v>
      </c>
      <c r="G23" s="1">
        <v>8.14</v>
      </c>
      <c r="H23" s="2">
        <f t="shared" si="0"/>
        <v>40.700000000000003</v>
      </c>
      <c r="I23" s="10">
        <f t="shared" si="1"/>
        <v>1065933</v>
      </c>
      <c r="J23" s="1"/>
      <c r="K23" s="1"/>
      <c r="L23" s="1"/>
      <c r="M23" s="8"/>
      <c r="N23" s="1"/>
      <c r="O23" s="1"/>
      <c r="P23" s="1"/>
      <c r="Q23" s="1"/>
    </row>
    <row r="24" spans="1:17" x14ac:dyDescent="0.25">
      <c r="A24" s="5">
        <v>23</v>
      </c>
      <c r="B24" s="144" t="s">
        <v>840</v>
      </c>
      <c r="C24" s="144" t="s">
        <v>840</v>
      </c>
      <c r="D24" s="144" t="s">
        <v>841</v>
      </c>
      <c r="E24" s="3" t="s">
        <v>842</v>
      </c>
      <c r="F24" s="27">
        <v>10</v>
      </c>
      <c r="G24" s="1">
        <v>1</v>
      </c>
      <c r="H24" s="2">
        <f t="shared" si="0"/>
        <v>10</v>
      </c>
      <c r="I24" s="10">
        <f t="shared" si="1"/>
        <v>261900</v>
      </c>
      <c r="J24" s="1"/>
      <c r="K24" s="1"/>
      <c r="L24" s="1"/>
      <c r="M24" s="8"/>
      <c r="N24" s="1"/>
      <c r="O24" s="1"/>
      <c r="P24" s="1"/>
      <c r="Q24" s="1"/>
    </row>
    <row r="25" spans="1:17" x14ac:dyDescent="0.25">
      <c r="A25" s="34">
        <v>24</v>
      </c>
      <c r="B25" s="144" t="s">
        <v>843</v>
      </c>
      <c r="C25" s="144" t="s">
        <v>801</v>
      </c>
      <c r="D25" s="144" t="s">
        <v>844</v>
      </c>
      <c r="E25" s="3" t="s">
        <v>845</v>
      </c>
      <c r="F25" s="27">
        <v>10</v>
      </c>
      <c r="G25" s="1">
        <v>0.1</v>
      </c>
      <c r="H25" s="2">
        <f t="shared" si="0"/>
        <v>1</v>
      </c>
      <c r="I25" s="10">
        <f t="shared" si="1"/>
        <v>26190</v>
      </c>
      <c r="J25" s="1" t="s">
        <v>562</v>
      </c>
      <c r="K25" s="1" t="s">
        <v>784</v>
      </c>
      <c r="L25" s="1"/>
      <c r="M25" s="9" t="s">
        <v>162</v>
      </c>
      <c r="N25" s="1" t="s">
        <v>786</v>
      </c>
      <c r="O25" s="1"/>
      <c r="P25" s="1"/>
      <c r="Q25" s="1"/>
    </row>
    <row r="26" spans="1:17" s="139" customFormat="1" x14ac:dyDescent="0.25">
      <c r="A26" s="5">
        <v>25</v>
      </c>
      <c r="B26" s="144" t="s">
        <v>846</v>
      </c>
      <c r="C26" s="144" t="s">
        <v>846</v>
      </c>
      <c r="D26" s="144" t="s">
        <v>847</v>
      </c>
      <c r="E26" s="3" t="s">
        <v>848</v>
      </c>
      <c r="F26" s="27">
        <v>10</v>
      </c>
      <c r="G26" s="1">
        <v>0.1</v>
      </c>
      <c r="H26" s="2">
        <f t="shared" si="0"/>
        <v>1</v>
      </c>
      <c r="I26" s="10">
        <f t="shared" si="1"/>
        <v>26190</v>
      </c>
      <c r="J26" s="1" t="s">
        <v>849</v>
      </c>
      <c r="K26" s="1" t="s">
        <v>773</v>
      </c>
      <c r="L26" s="1" t="s">
        <v>850</v>
      </c>
      <c r="M26" s="9" t="s">
        <v>162</v>
      </c>
      <c r="N26" s="1" t="s">
        <v>51</v>
      </c>
      <c r="O26" s="1"/>
      <c r="P26" s="1"/>
      <c r="Q26" s="1"/>
    </row>
    <row r="27" spans="1:17" x14ac:dyDescent="0.25">
      <c r="A27" s="34">
        <v>26</v>
      </c>
      <c r="B27" s="144" t="s">
        <v>851</v>
      </c>
      <c r="C27" s="144" t="s">
        <v>851</v>
      </c>
      <c r="D27" s="144" t="s">
        <v>852</v>
      </c>
      <c r="E27" s="3" t="s">
        <v>853</v>
      </c>
      <c r="F27" s="27">
        <v>10</v>
      </c>
      <c r="G27" s="1">
        <v>0.1</v>
      </c>
      <c r="H27" s="2">
        <f t="shared" si="0"/>
        <v>1</v>
      </c>
      <c r="I27" s="10">
        <f t="shared" si="1"/>
        <v>26190</v>
      </c>
      <c r="J27" s="1" t="s">
        <v>854</v>
      </c>
      <c r="K27" s="1" t="s">
        <v>773</v>
      </c>
      <c r="L27" s="1" t="s">
        <v>850</v>
      </c>
      <c r="M27" s="9" t="s">
        <v>162</v>
      </c>
      <c r="N27" s="1" t="s">
        <v>51</v>
      </c>
      <c r="O27" s="1"/>
      <c r="P27" s="1"/>
      <c r="Q27" s="1"/>
    </row>
    <row r="28" spans="1:17" x14ac:dyDescent="0.25">
      <c r="A28" s="5">
        <v>27</v>
      </c>
      <c r="B28" s="140" t="s">
        <v>855</v>
      </c>
      <c r="C28" s="140" t="s">
        <v>855</v>
      </c>
      <c r="D28" s="140" t="s">
        <v>856</v>
      </c>
      <c r="E28" s="132" t="s">
        <v>857</v>
      </c>
      <c r="F28" s="135">
        <v>3</v>
      </c>
      <c r="G28" s="133">
        <v>5</v>
      </c>
      <c r="H28" s="136">
        <f t="shared" si="0"/>
        <v>15</v>
      </c>
      <c r="I28" s="137">
        <f t="shared" si="1"/>
        <v>392850</v>
      </c>
      <c r="J28" s="133"/>
      <c r="K28" s="133"/>
      <c r="L28" s="133"/>
      <c r="M28" s="108"/>
      <c r="N28" s="133"/>
      <c r="O28" s="133"/>
      <c r="P28" s="133"/>
      <c r="Q28" s="133"/>
    </row>
    <row r="29" spans="1:17" x14ac:dyDescent="0.25">
      <c r="A29" s="34">
        <v>28</v>
      </c>
      <c r="B29" s="145" t="s">
        <v>858</v>
      </c>
      <c r="C29" s="145" t="s">
        <v>858</v>
      </c>
      <c r="D29" s="145" t="s">
        <v>859</v>
      </c>
      <c r="E29" s="3" t="s">
        <v>860</v>
      </c>
      <c r="F29" s="28">
        <v>10</v>
      </c>
      <c r="G29" s="1">
        <v>0.1</v>
      </c>
      <c r="H29" s="2">
        <f t="shared" si="0"/>
        <v>1</v>
      </c>
      <c r="I29" s="10">
        <f t="shared" si="1"/>
        <v>26190</v>
      </c>
      <c r="J29" s="1" t="s">
        <v>861</v>
      </c>
      <c r="K29" s="1" t="s">
        <v>773</v>
      </c>
      <c r="L29" s="1" t="s">
        <v>779</v>
      </c>
      <c r="M29" s="9" t="s">
        <v>162</v>
      </c>
      <c r="N29" s="1" t="s">
        <v>51</v>
      </c>
      <c r="O29" s="1"/>
      <c r="P29" s="1"/>
      <c r="Q29" s="1"/>
    </row>
    <row r="30" spans="1:17" x14ac:dyDescent="0.25">
      <c r="A30" s="5">
        <v>29</v>
      </c>
      <c r="B30" s="140" t="s">
        <v>862</v>
      </c>
      <c r="C30" s="140" t="s">
        <v>862</v>
      </c>
      <c r="D30" s="140" t="s">
        <v>863</v>
      </c>
      <c r="E30" s="132" t="s">
        <v>864</v>
      </c>
      <c r="F30" s="135">
        <v>5</v>
      </c>
      <c r="G30" s="133">
        <v>0.2</v>
      </c>
      <c r="H30" s="136">
        <f t="shared" si="0"/>
        <v>1</v>
      </c>
      <c r="I30" s="137">
        <f t="shared" si="1"/>
        <v>26190</v>
      </c>
      <c r="J30" s="133"/>
      <c r="K30" s="133"/>
      <c r="L30" s="133"/>
      <c r="M30" s="108"/>
      <c r="N30" s="133"/>
      <c r="O30" s="133"/>
      <c r="P30" s="133"/>
      <c r="Q30" s="133"/>
    </row>
    <row r="31" spans="1:17" s="139" customFormat="1" x14ac:dyDescent="0.25">
      <c r="A31" s="34">
        <v>30</v>
      </c>
      <c r="B31" s="140" t="s">
        <v>865</v>
      </c>
      <c r="C31" s="140" t="s">
        <v>865</v>
      </c>
      <c r="D31" s="140" t="s">
        <v>866</v>
      </c>
      <c r="E31" s="132" t="s">
        <v>867</v>
      </c>
      <c r="F31" s="135">
        <v>10</v>
      </c>
      <c r="G31" s="133">
        <v>0.46</v>
      </c>
      <c r="H31" s="136">
        <f t="shared" si="0"/>
        <v>4.6000000000000005</v>
      </c>
      <c r="I31" s="137">
        <f t="shared" si="1"/>
        <v>120474.00000000001</v>
      </c>
      <c r="J31" s="133"/>
      <c r="K31" s="133"/>
      <c r="L31" s="133"/>
      <c r="M31" s="108"/>
      <c r="N31" s="133"/>
      <c r="O31" s="133"/>
      <c r="P31" s="133"/>
      <c r="Q31" s="133"/>
    </row>
    <row r="32" spans="1:17" s="139" customFormat="1" x14ac:dyDescent="0.25">
      <c r="A32" s="5">
        <v>31</v>
      </c>
      <c r="B32" s="146" t="s">
        <v>868</v>
      </c>
      <c r="C32" s="146" t="s">
        <v>868</v>
      </c>
      <c r="D32" s="146" t="s">
        <v>869</v>
      </c>
      <c r="E32" s="3" t="s">
        <v>870</v>
      </c>
      <c r="F32" s="30">
        <v>10</v>
      </c>
      <c r="G32" s="1">
        <v>0.2</v>
      </c>
      <c r="H32" s="2">
        <f t="shared" si="0"/>
        <v>2</v>
      </c>
      <c r="I32" s="10">
        <f t="shared" si="1"/>
        <v>52380</v>
      </c>
      <c r="J32" s="1" t="s">
        <v>871</v>
      </c>
      <c r="K32" s="1" t="s">
        <v>773</v>
      </c>
      <c r="L32" s="46">
        <v>0.01</v>
      </c>
      <c r="M32" s="8">
        <v>1206</v>
      </c>
      <c r="N32" s="1" t="s">
        <v>51</v>
      </c>
      <c r="O32" s="1"/>
      <c r="P32" s="1"/>
      <c r="Q32" s="1"/>
    </row>
    <row r="33" spans="1:17" s="139" customFormat="1" x14ac:dyDescent="0.25">
      <c r="A33" s="34">
        <v>32</v>
      </c>
      <c r="B33" s="148" t="s">
        <v>872</v>
      </c>
      <c r="C33" s="148" t="s">
        <v>872</v>
      </c>
      <c r="D33" s="148" t="s">
        <v>873</v>
      </c>
      <c r="E33" s="3" t="s">
        <v>874</v>
      </c>
      <c r="F33" s="29">
        <v>10</v>
      </c>
      <c r="G33" s="1">
        <v>0.46</v>
      </c>
      <c r="H33" s="2">
        <f t="shared" si="0"/>
        <v>4.6000000000000005</v>
      </c>
      <c r="I33" s="10">
        <f t="shared" si="1"/>
        <v>120474.00000000001</v>
      </c>
      <c r="J33" s="1" t="s">
        <v>875</v>
      </c>
      <c r="K33" s="1" t="s">
        <v>773</v>
      </c>
      <c r="L33" s="1" t="s">
        <v>779</v>
      </c>
      <c r="M33" s="9" t="s">
        <v>162</v>
      </c>
      <c r="N33" s="1" t="s">
        <v>51</v>
      </c>
      <c r="O33" s="1"/>
      <c r="P33" s="1"/>
      <c r="Q33" s="1"/>
    </row>
    <row r="34" spans="1:17" x14ac:dyDescent="0.25">
      <c r="A34" s="5">
        <v>33</v>
      </c>
      <c r="B34" s="147" t="s">
        <v>876</v>
      </c>
      <c r="C34" s="147" t="s">
        <v>876</v>
      </c>
      <c r="D34" s="147" t="s">
        <v>877</v>
      </c>
      <c r="E34" s="3" t="s">
        <v>878</v>
      </c>
      <c r="F34" s="31">
        <v>10</v>
      </c>
      <c r="G34" s="1">
        <v>0.1</v>
      </c>
      <c r="H34" s="2">
        <f t="shared" si="0"/>
        <v>1</v>
      </c>
      <c r="I34" s="10">
        <f t="shared" si="1"/>
        <v>26190</v>
      </c>
      <c r="J34" s="1">
        <v>100</v>
      </c>
      <c r="K34" s="1" t="s">
        <v>773</v>
      </c>
      <c r="L34" s="1" t="s">
        <v>779</v>
      </c>
      <c r="M34" s="9" t="s">
        <v>162</v>
      </c>
      <c r="N34" s="1" t="s">
        <v>51</v>
      </c>
      <c r="O34" s="1"/>
      <c r="P34" s="1"/>
      <c r="Q34" s="1"/>
    </row>
    <row r="35" spans="1:17" x14ac:dyDescent="0.25">
      <c r="I35" s="53"/>
    </row>
    <row r="36" spans="1:17" x14ac:dyDescent="0.25">
      <c r="H36" s="53"/>
    </row>
  </sheetData>
  <autoFilter ref="A1:Q34" xr:uid="{F9D4A93A-85FC-4406-9242-665F6B92E052}"/>
  <hyperlinks>
    <hyperlink ref="E2" r:id="rId1" xr:uid="{129560FE-1480-41FB-98F6-3636562B4C8A}"/>
    <hyperlink ref="E5" r:id="rId2" xr:uid="{0E79CA9C-2D23-4C4A-8EB8-59B8D0928B5E}"/>
    <hyperlink ref="E6" r:id="rId3" xr:uid="{92CBAFAC-E1A2-4D48-85B4-2074D12082BE}"/>
    <hyperlink ref="E4" r:id="rId4" xr:uid="{8E317851-6A9B-4692-AD1F-04F5545E3386}"/>
    <hyperlink ref="E3" r:id="rId5" xr:uid="{F4EC0355-09B7-4EEB-9757-970D06AB8230}"/>
    <hyperlink ref="E7" r:id="rId6" xr:uid="{7B57FD58-3102-4D2F-B1CE-045B0A7D8B36}"/>
    <hyperlink ref="E8" r:id="rId7" xr:uid="{63A2CD30-0991-4F43-9B72-841FA9744125}"/>
    <hyperlink ref="E9" r:id="rId8" xr:uid="{F60ED327-54B4-4847-8A4E-F617D7BB80DD}"/>
    <hyperlink ref="E10" r:id="rId9" xr:uid="{B4821070-18AC-4639-99B7-A1C3E4D3EBF7}"/>
    <hyperlink ref="E11" r:id="rId10" xr:uid="{3E414164-3287-458B-8376-B148D61B2B1E}"/>
    <hyperlink ref="E12" r:id="rId11" xr:uid="{E9C2E9D3-7C9E-4D41-9B1C-1C7CB85987F5}"/>
    <hyperlink ref="E13" r:id="rId12" xr:uid="{ABB6D62C-ADFD-437D-9AA1-957852304294}"/>
    <hyperlink ref="E14" r:id="rId13" xr:uid="{E768708D-8A2F-411A-99D0-98C3F09C5F22}"/>
    <hyperlink ref="E15" r:id="rId14" xr:uid="{7128527F-E392-4526-A86B-67776ECC8E83}"/>
    <hyperlink ref="E17" r:id="rId15" xr:uid="{C6D387D1-32E6-4F18-9D4A-1139696F68BC}"/>
    <hyperlink ref="E18" r:id="rId16" xr:uid="{BA8A4F0A-6CF7-4764-9CB0-B33E25E20111}"/>
    <hyperlink ref="E19" r:id="rId17" xr:uid="{857439EA-03CA-45BB-AD63-CE231AA12830}"/>
    <hyperlink ref="E20" r:id="rId18" xr:uid="{30A681A0-2311-4217-A559-754A34750272}"/>
    <hyperlink ref="E21" r:id="rId19" xr:uid="{8F16BA70-2B76-4276-954C-3372DE44B713}"/>
    <hyperlink ref="E22" r:id="rId20" xr:uid="{1335A32E-F09B-4DFC-90F1-16DB4D7A91CA}"/>
    <hyperlink ref="E23" r:id="rId21" xr:uid="{54843190-5E0C-4163-BA63-65C7F27A9389}"/>
    <hyperlink ref="E25:E26" r:id="rId22" display="https://www.digikey.tw/en/products/detail/kemet/C0603C104K3RACTU/416044" xr:uid="{68F7394F-4AA9-4015-AE39-C9D1F194FB39}"/>
    <hyperlink ref="E26" r:id="rId23" xr:uid="{9CC54B57-1090-4C51-AB94-E3548C922799}"/>
    <hyperlink ref="E27" r:id="rId24" xr:uid="{7ECDB169-DA6A-43FC-B0B2-079921DD86B1}"/>
    <hyperlink ref="E29" r:id="rId25" xr:uid="{B8F8363B-DE82-491B-9136-91378B46E46D}"/>
    <hyperlink ref="E32" r:id="rId26" xr:uid="{16671367-77BE-464A-AE8A-1160998EFE6A}"/>
    <hyperlink ref="E34" r:id="rId27" xr:uid="{405D03A3-E333-4B20-A91E-EE7317998578}"/>
    <hyperlink ref="E28" r:id="rId28" xr:uid="{4A3CE41A-9EAF-40E4-825A-D4835051E2D9}"/>
    <hyperlink ref="E30" r:id="rId29" xr:uid="{42B796E4-E051-4475-9453-ACBE17F09CBD}"/>
    <hyperlink ref="E31" r:id="rId30" xr:uid="{E804E6C9-08C3-481A-93C7-E102C3391F57}"/>
    <hyperlink ref="E16" r:id="rId31" xr:uid="{A499E05E-3CF4-4C97-9165-7BA2711994C1}"/>
    <hyperlink ref="E24" r:id="rId32" xr:uid="{F539B83A-7717-4AC7-8D9A-82988ACF4F9A}"/>
    <hyperlink ref="E25" r:id="rId33" xr:uid="{B242BC51-4E6F-4A50-BD0A-FD3E77874656}"/>
    <hyperlink ref="E33" r:id="rId34" xr:uid="{A0B9B2F6-3EF4-4CD2-BBBC-D9F411E0DA05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062C4-682E-401E-9873-999368B39D91}">
  <dimension ref="A1:U107"/>
  <sheetViews>
    <sheetView topLeftCell="A66" zoomScaleNormal="100" workbookViewId="0">
      <selection activeCell="A2" sqref="A2:A107"/>
    </sheetView>
  </sheetViews>
  <sheetFormatPr defaultRowHeight="15" x14ac:dyDescent="0.25"/>
  <cols>
    <col min="2" max="2" width="37.140625" customWidth="1"/>
    <col min="3" max="3" width="27.7109375" customWidth="1"/>
    <col min="4" max="4" width="37.7109375" customWidth="1"/>
    <col min="5" max="5" width="43" customWidth="1"/>
    <col min="7" max="7" width="13.28515625" customWidth="1"/>
    <col min="8" max="8" width="16.7109375" customWidth="1"/>
    <col min="9" max="9" width="14.85546875" customWidth="1"/>
    <col min="15" max="15" width="13" customWidth="1"/>
    <col min="17" max="17" width="4.7109375" customWidth="1"/>
    <col min="18" max="18" width="16.7109375" customWidth="1"/>
    <col min="19" max="19" width="16.140625" customWidth="1"/>
  </cols>
  <sheetData>
    <row r="1" spans="1:21" ht="30" x14ac:dyDescent="0.25">
      <c r="A1" s="65" t="s">
        <v>0</v>
      </c>
      <c r="B1" s="66" t="s">
        <v>1</v>
      </c>
      <c r="C1" s="66" t="s">
        <v>2</v>
      </c>
      <c r="D1" s="67" t="s">
        <v>3</v>
      </c>
      <c r="E1" s="66" t="s">
        <v>4</v>
      </c>
      <c r="F1" s="66" t="s">
        <v>5</v>
      </c>
      <c r="G1" s="67" t="s">
        <v>6</v>
      </c>
      <c r="H1" s="67" t="s">
        <v>7</v>
      </c>
      <c r="I1" s="67" t="s">
        <v>8</v>
      </c>
      <c r="J1" s="66" t="s">
        <v>9</v>
      </c>
      <c r="K1" s="66" t="s">
        <v>10</v>
      </c>
      <c r="L1" s="66" t="s">
        <v>11</v>
      </c>
      <c r="M1" s="66" t="s">
        <v>12</v>
      </c>
      <c r="N1" s="66" t="s">
        <v>13</v>
      </c>
      <c r="O1" s="66" t="s">
        <v>14</v>
      </c>
      <c r="P1" s="66" t="s">
        <v>15</v>
      </c>
      <c r="Q1" s="58"/>
      <c r="R1" s="58"/>
      <c r="S1" s="58"/>
      <c r="U1" t="s">
        <v>2</v>
      </c>
    </row>
    <row r="2" spans="1:21" x14ac:dyDescent="0.25">
      <c r="A2" s="58">
        <v>1</v>
      </c>
      <c r="B2" s="68" t="str">
        <f>KhoiVTM!B64</f>
        <v>738-RNCF0603TKY49R9CT-ND</v>
      </c>
      <c r="C2" s="68" t="str">
        <f>KhoiVTM!C64</f>
        <v>RNCF0603TKY49R9</v>
      </c>
      <c r="D2" s="80" t="str">
        <f>KhoiVTM!D64</f>
        <v>RES 49.9 OHM 0.01% 1/10W 0603</v>
      </c>
      <c r="E2" s="74" t="s">
        <v>298</v>
      </c>
      <c r="F2" s="72">
        <f>KhoiVTM!F64</f>
        <v>12</v>
      </c>
      <c r="G2" s="85">
        <v>1.1759999999999999</v>
      </c>
      <c r="H2" s="78">
        <f t="shared" ref="H2:H33" si="0">G2*F2</f>
        <v>14.111999999999998</v>
      </c>
      <c r="I2" s="86">
        <f t="shared" ref="I2:I51" si="1">H2*26190</f>
        <v>369593.27999999997</v>
      </c>
      <c r="J2" s="62" t="str">
        <f t="shared" ref="J2:J9" si="2">TRIM(LEFT(SUBSTITUTE(TRIM(SUBSTITUTE(SUBSTITUTE(D2,"RES",""),"SMD",""))," ",REPT(" ",100)),100))</f>
        <v>49.9</v>
      </c>
      <c r="K2" s="72" t="s">
        <v>50</v>
      </c>
      <c r="L2" s="62" t="str">
        <f t="shared" ref="L2:L9" si="3">_xlfn.TEXTAFTER(_xlfn.TEXTBEFORE(D2, "%"), " ", -1) &amp; "%"</f>
        <v>0.01%</v>
      </c>
      <c r="M2" s="72" t="str">
        <f t="shared" ref="M2:M10" si="4">RIGHT(TRIM(D2), 4)</f>
        <v>0603</v>
      </c>
      <c r="N2" s="62" t="str">
        <f t="shared" ref="N2:N10" si="5">IF(LEFT(D2,3)="RES", "Resistor", IF(LEFT(D2,3)="CAP", "Capacitor", "Other"))</f>
        <v>Resistor</v>
      </c>
      <c r="O2" s="62" t="s">
        <v>299</v>
      </c>
      <c r="P2" s="97" t="s">
        <v>879</v>
      </c>
      <c r="Q2" s="58"/>
      <c r="R2" s="12" t="s">
        <v>27</v>
      </c>
      <c r="S2" s="15">
        <f>SUM($H:$H)</f>
        <v>709.38700000000028</v>
      </c>
      <c r="U2" t="s">
        <v>296</v>
      </c>
    </row>
    <row r="3" spans="1:21" x14ac:dyDescent="0.25">
      <c r="A3" s="58">
        <v>2</v>
      </c>
      <c r="B3" s="68" t="str">
        <f>KhoiVTM!B65</f>
        <v>RNCF0603TKY1K00CT-ND</v>
      </c>
      <c r="C3" s="68" t="str">
        <f>KhoiVTM!C65</f>
        <v>RNCF0603TKY1K00</v>
      </c>
      <c r="D3" s="80" t="str">
        <f>KhoiVTM!D65</f>
        <v>RES SMD 1K OHM 0.01% 1/10W 0603</v>
      </c>
      <c r="E3" s="77" t="s">
        <v>303</v>
      </c>
      <c r="F3" s="72">
        <f>KhoiVTM!F65</f>
        <v>10</v>
      </c>
      <c r="G3" s="85">
        <v>1.1759999999999999</v>
      </c>
      <c r="H3" s="78">
        <f t="shared" si="0"/>
        <v>11.76</v>
      </c>
      <c r="I3" s="86">
        <f t="shared" si="1"/>
        <v>307994.40000000002</v>
      </c>
      <c r="J3" s="62" t="str">
        <f t="shared" si="2"/>
        <v>1K</v>
      </c>
      <c r="K3" s="72" t="s">
        <v>50</v>
      </c>
      <c r="L3" s="62" t="str">
        <f t="shared" si="3"/>
        <v>0.01%</v>
      </c>
      <c r="M3" s="72" t="str">
        <f t="shared" si="4"/>
        <v>0603</v>
      </c>
      <c r="N3" s="62" t="str">
        <f t="shared" si="5"/>
        <v>Resistor</v>
      </c>
      <c r="O3" s="62" t="s">
        <v>299</v>
      </c>
      <c r="P3" s="97" t="s">
        <v>879</v>
      </c>
      <c r="Q3" s="58"/>
      <c r="R3" s="12" t="s">
        <v>33</v>
      </c>
      <c r="S3" s="152">
        <f>SUM($I:$I)</f>
        <v>18578845.529999997</v>
      </c>
      <c r="U3" t="s">
        <v>301</v>
      </c>
    </row>
    <row r="4" spans="1:21" x14ac:dyDescent="0.25">
      <c r="A4" s="58">
        <v>3</v>
      </c>
      <c r="B4" s="68" t="str">
        <f>KhoiVTM!B66</f>
        <v>738-RNCF0603TKY499RCT-ND</v>
      </c>
      <c r="C4" s="68" t="str">
        <f>KhoiVTM!C66</f>
        <v>RNCF0603TKY499R</v>
      </c>
      <c r="D4" s="80" t="str">
        <f>KhoiVTM!D66</f>
        <v>RES SMD 499 OHM 0.01% 1/10W 0603</v>
      </c>
      <c r="E4" s="77" t="s">
        <v>307</v>
      </c>
      <c r="F4" s="72">
        <f>KhoiVTM!F66</f>
        <v>10</v>
      </c>
      <c r="G4" s="85">
        <v>1.1759999999999999</v>
      </c>
      <c r="H4" s="78">
        <f t="shared" si="0"/>
        <v>11.76</v>
      </c>
      <c r="I4" s="86">
        <f t="shared" si="1"/>
        <v>307994.40000000002</v>
      </c>
      <c r="J4" s="62" t="str">
        <f t="shared" si="2"/>
        <v>499</v>
      </c>
      <c r="K4" s="72" t="s">
        <v>50</v>
      </c>
      <c r="L4" s="62" t="str">
        <f t="shared" si="3"/>
        <v>0.01%</v>
      </c>
      <c r="M4" s="72" t="str">
        <f t="shared" si="4"/>
        <v>0603</v>
      </c>
      <c r="N4" s="62" t="str">
        <f t="shared" si="5"/>
        <v>Resistor</v>
      </c>
      <c r="O4" s="62" t="s">
        <v>299</v>
      </c>
      <c r="P4" s="97" t="s">
        <v>879</v>
      </c>
      <c r="Q4" s="58"/>
      <c r="R4" s="12" t="s">
        <v>40</v>
      </c>
      <c r="S4" s="16">
        <f>$S$2*31.63</f>
        <v>22437.910810000008</v>
      </c>
      <c r="U4" t="s">
        <v>305</v>
      </c>
    </row>
    <row r="5" spans="1:21" x14ac:dyDescent="0.25">
      <c r="A5" s="58">
        <v>4</v>
      </c>
      <c r="B5" s="68" t="str">
        <f>KhoiVTM!B67</f>
        <v>RG20N51WCT-ND</v>
      </c>
      <c r="C5" s="68" t="str">
        <f>KhoiVTM!C67</f>
        <v>RG2012N-510-W-T1</v>
      </c>
      <c r="D5" s="80" t="str">
        <f>KhoiVTM!D67</f>
        <v>RES SMD 51 OHM 0.05% 1/8W 0805</v>
      </c>
      <c r="E5" s="77" t="s">
        <v>311</v>
      </c>
      <c r="F5" s="72">
        <f>KhoiVTM!F67</f>
        <v>10</v>
      </c>
      <c r="G5" s="85">
        <v>0.48159999999999997</v>
      </c>
      <c r="H5" s="78">
        <f t="shared" si="0"/>
        <v>4.8159999999999998</v>
      </c>
      <c r="I5" s="86">
        <f t="shared" si="1"/>
        <v>126131.04</v>
      </c>
      <c r="J5" s="62" t="str">
        <f t="shared" si="2"/>
        <v>51</v>
      </c>
      <c r="K5" s="72" t="s">
        <v>50</v>
      </c>
      <c r="L5" s="62" t="str">
        <f t="shared" si="3"/>
        <v>0.05%</v>
      </c>
      <c r="M5" s="81" t="str">
        <f t="shared" si="4"/>
        <v>0805</v>
      </c>
      <c r="N5" s="62" t="str">
        <f t="shared" si="5"/>
        <v>Resistor</v>
      </c>
      <c r="O5" s="62" t="s">
        <v>299</v>
      </c>
      <c r="P5" s="97" t="s">
        <v>879</v>
      </c>
      <c r="Q5" s="58"/>
      <c r="R5" s="58"/>
      <c r="S5" s="58"/>
      <c r="U5" t="s">
        <v>309</v>
      </c>
    </row>
    <row r="6" spans="1:21" x14ac:dyDescent="0.25">
      <c r="A6" s="58">
        <v>5</v>
      </c>
      <c r="B6" s="68" t="str">
        <f>KhoiVTM!B68</f>
        <v>P100KBECT-ND</v>
      </c>
      <c r="C6" s="68" t="str">
        <f>KhoiVTM!C68</f>
        <v>ERA-3ARW104V</v>
      </c>
      <c r="D6" s="80" t="str">
        <f>KhoiVTM!D68</f>
        <v>RES SMD 100K OHM 0.05% 1/10W 0603</v>
      </c>
      <c r="E6" s="77" t="s">
        <v>315</v>
      </c>
      <c r="F6" s="72">
        <f>KhoiVTM!F68</f>
        <v>10</v>
      </c>
      <c r="G6" s="85">
        <v>0.3412</v>
      </c>
      <c r="H6" s="78">
        <f t="shared" si="0"/>
        <v>3.4119999999999999</v>
      </c>
      <c r="I6" s="86">
        <f t="shared" si="1"/>
        <v>89360.28</v>
      </c>
      <c r="J6" s="62" t="str">
        <f t="shared" si="2"/>
        <v>100K</v>
      </c>
      <c r="K6" s="72" t="s">
        <v>50</v>
      </c>
      <c r="L6" s="62" t="str">
        <f t="shared" si="3"/>
        <v>0.05%</v>
      </c>
      <c r="M6" s="62" t="str">
        <f t="shared" si="4"/>
        <v>0603</v>
      </c>
      <c r="N6" s="62" t="str">
        <f t="shared" si="5"/>
        <v>Resistor</v>
      </c>
      <c r="O6" s="62" t="s">
        <v>299</v>
      </c>
      <c r="P6" s="97" t="s">
        <v>879</v>
      </c>
      <c r="Q6" s="58"/>
      <c r="R6" s="58"/>
      <c r="S6" s="58"/>
      <c r="U6" t="s">
        <v>313</v>
      </c>
    </row>
    <row r="7" spans="1:21" x14ac:dyDescent="0.25">
      <c r="A7" s="58">
        <v>6</v>
      </c>
      <c r="B7" s="68" t="str">
        <f>KhoiVTM!B69</f>
        <v>408-RG1608N-103-W-T5CT-ND</v>
      </c>
      <c r="C7" s="68" t="str">
        <f>KhoiVTM!C69</f>
        <v>RG1608N-103-W-T5</v>
      </c>
      <c r="D7" s="80" t="str">
        <f>KhoiVTM!D69</f>
        <v>RES SMD 10K OHM 0.05% 1/10W 0603</v>
      </c>
      <c r="E7" s="77" t="s">
        <v>319</v>
      </c>
      <c r="F7" s="72">
        <f>KhoiVTM!F69</f>
        <v>20</v>
      </c>
      <c r="G7" s="85">
        <v>0.42080000000000001</v>
      </c>
      <c r="H7" s="78">
        <f t="shared" si="0"/>
        <v>8.4160000000000004</v>
      </c>
      <c r="I7" s="86">
        <f t="shared" si="1"/>
        <v>220415.04</v>
      </c>
      <c r="J7" s="62" t="str">
        <f t="shared" si="2"/>
        <v>10K</v>
      </c>
      <c r="K7" s="72" t="s">
        <v>50</v>
      </c>
      <c r="L7" s="62" t="str">
        <f t="shared" si="3"/>
        <v>0.05%</v>
      </c>
      <c r="M7" s="62" t="str">
        <f t="shared" si="4"/>
        <v>0603</v>
      </c>
      <c r="N7" s="62" t="str">
        <f t="shared" si="5"/>
        <v>Resistor</v>
      </c>
      <c r="O7" s="62" t="s">
        <v>299</v>
      </c>
      <c r="P7" s="97" t="s">
        <v>879</v>
      </c>
      <c r="Q7" s="58"/>
      <c r="R7" s="58"/>
      <c r="S7" s="58"/>
      <c r="U7" t="s">
        <v>317</v>
      </c>
    </row>
    <row r="8" spans="1:21" x14ac:dyDescent="0.25">
      <c r="A8" s="58">
        <v>7</v>
      </c>
      <c r="B8" s="68" t="str">
        <f>KhoiVTM!B70</f>
        <v>RG16N47WCT-ND</v>
      </c>
      <c r="C8" s="68" t="str">
        <f>KhoiVTM!C70</f>
        <v>RG1608N-470-W-T1</v>
      </c>
      <c r="D8" s="80" t="str">
        <f>KhoiVTM!D70</f>
        <v>RES SMD 47 OHM 0.05% 1/10W 0603</v>
      </c>
      <c r="E8" s="77" t="s">
        <v>323</v>
      </c>
      <c r="F8" s="72">
        <f>KhoiVTM!F70</f>
        <v>10</v>
      </c>
      <c r="G8" s="85">
        <v>0.44040000000000001</v>
      </c>
      <c r="H8" s="78">
        <f t="shared" si="0"/>
        <v>4.4039999999999999</v>
      </c>
      <c r="I8" s="86">
        <f t="shared" si="1"/>
        <v>115340.76</v>
      </c>
      <c r="J8" s="62" t="str">
        <f t="shared" si="2"/>
        <v>47</v>
      </c>
      <c r="K8" s="72" t="s">
        <v>50</v>
      </c>
      <c r="L8" s="62" t="str">
        <f t="shared" si="3"/>
        <v>0.05%</v>
      </c>
      <c r="M8" s="62" t="str">
        <f t="shared" si="4"/>
        <v>0603</v>
      </c>
      <c r="N8" s="62" t="str">
        <f t="shared" si="5"/>
        <v>Resistor</v>
      </c>
      <c r="O8" s="62" t="s">
        <v>299</v>
      </c>
      <c r="P8" s="97" t="s">
        <v>879</v>
      </c>
      <c r="Q8" s="58"/>
      <c r="R8" s="58"/>
      <c r="S8" s="58"/>
      <c r="U8" t="s">
        <v>321</v>
      </c>
    </row>
    <row r="9" spans="1:21" x14ac:dyDescent="0.25">
      <c r="A9" s="58">
        <v>8</v>
      </c>
      <c r="B9" s="68" t="str">
        <f>KhoiVTM!B71</f>
        <v>RNCF0603AKT10R0CT-ND</v>
      </c>
      <c r="C9" s="68" t="str">
        <f>KhoiVTM!C71</f>
        <v>RNCF0603AKT10R0</v>
      </c>
      <c r="D9" s="80" t="str">
        <f>KhoiVTM!D71</f>
        <v>RES SMD 10 OHM 0.05% 1/10W 0603</v>
      </c>
      <c r="E9" s="77" t="s">
        <v>327</v>
      </c>
      <c r="F9" s="72">
        <f>KhoiVTM!F71</f>
        <v>15</v>
      </c>
      <c r="G9" s="85">
        <v>0.65</v>
      </c>
      <c r="H9" s="78">
        <f t="shared" si="0"/>
        <v>9.75</v>
      </c>
      <c r="I9" s="86">
        <f t="shared" si="1"/>
        <v>255352.5</v>
      </c>
      <c r="J9" s="62" t="str">
        <f t="shared" si="2"/>
        <v>10</v>
      </c>
      <c r="K9" s="72" t="s">
        <v>50</v>
      </c>
      <c r="L9" s="62" t="str">
        <f t="shared" si="3"/>
        <v>0.05%</v>
      </c>
      <c r="M9" s="62" t="str">
        <f t="shared" si="4"/>
        <v>0603</v>
      </c>
      <c r="N9" s="62" t="str">
        <f t="shared" si="5"/>
        <v>Resistor</v>
      </c>
      <c r="O9" s="62" t="s">
        <v>299</v>
      </c>
      <c r="P9" s="97" t="s">
        <v>879</v>
      </c>
      <c r="Q9" s="58"/>
      <c r="R9" s="58"/>
      <c r="S9" s="58"/>
      <c r="U9" t="s">
        <v>325</v>
      </c>
    </row>
    <row r="10" spans="1:21" x14ac:dyDescent="0.25">
      <c r="A10" s="58">
        <v>9</v>
      </c>
      <c r="B10" s="68" t="str">
        <f>KhoiVTM!B72</f>
        <v>490-16342-1-ND</v>
      </c>
      <c r="C10" s="68" t="str">
        <f>KhoiVTM!C72</f>
        <v>GRM1885C1H1R0WA01D</v>
      </c>
      <c r="D10" s="80" t="str">
        <f>KhoiVTM!D72</f>
        <v>CAP CER 1PF 50V C0G/NP0 0603</v>
      </c>
      <c r="E10" s="77" t="s">
        <v>331</v>
      </c>
      <c r="F10" s="72">
        <f>KhoiVTM!F72</f>
        <v>25</v>
      </c>
      <c r="G10" s="85">
        <v>0.109</v>
      </c>
      <c r="H10" s="78">
        <f t="shared" si="0"/>
        <v>2.7250000000000001</v>
      </c>
      <c r="I10" s="86">
        <f t="shared" si="1"/>
        <v>71367.75</v>
      </c>
      <c r="J10" s="62" t="str">
        <f>_xlfn.TEXTBEFORE(_xlfn.TEXTAFTER(D10, "CER "), "F")</f>
        <v>1P</v>
      </c>
      <c r="K10" s="72" t="s">
        <v>103</v>
      </c>
      <c r="L10" s="92">
        <v>0.05</v>
      </c>
      <c r="M10" s="62" t="str">
        <f t="shared" si="4"/>
        <v>0603</v>
      </c>
      <c r="N10" s="62" t="str">
        <f t="shared" si="5"/>
        <v>Capacitor</v>
      </c>
      <c r="O10" s="62" t="s">
        <v>299</v>
      </c>
      <c r="P10" s="97" t="s">
        <v>879</v>
      </c>
      <c r="Q10" s="58"/>
      <c r="R10" s="58"/>
      <c r="S10" s="58"/>
      <c r="U10" t="s">
        <v>329</v>
      </c>
    </row>
    <row r="11" spans="1:21" x14ac:dyDescent="0.25">
      <c r="A11" s="58">
        <v>10</v>
      </c>
      <c r="B11" s="68" t="str">
        <f>KhoiVTM!B73</f>
        <v>505-AD8066ARZ-R7CT-ND</v>
      </c>
      <c r="C11" s="68" t="str">
        <f>KhoiVTM!C73</f>
        <v>AD8066ARZ-R7</v>
      </c>
      <c r="D11" s="80" t="str">
        <f>KhoiVTM!D73</f>
        <v>IC VOLTAGE FEEDBACK 2 CIRC 8SOIC</v>
      </c>
      <c r="E11" s="94" t="s">
        <v>335</v>
      </c>
      <c r="F11" s="72">
        <f>KhoiVTM!F73</f>
        <v>4</v>
      </c>
      <c r="G11" s="89">
        <v>8.01</v>
      </c>
      <c r="H11" s="90">
        <f t="shared" si="0"/>
        <v>32.04</v>
      </c>
      <c r="I11" s="91">
        <f t="shared" si="1"/>
        <v>839127.6</v>
      </c>
      <c r="J11" s="72" t="s">
        <v>21</v>
      </c>
      <c r="K11" s="62" t="s">
        <v>22</v>
      </c>
      <c r="L11" s="92" t="s">
        <v>21</v>
      </c>
      <c r="M11" s="64"/>
      <c r="N11" s="72" t="s">
        <v>24</v>
      </c>
      <c r="O11" s="62" t="s">
        <v>299</v>
      </c>
      <c r="P11" s="97" t="s">
        <v>879</v>
      </c>
      <c r="Q11" s="58"/>
      <c r="R11" s="58"/>
      <c r="S11" s="58"/>
      <c r="U11" t="s">
        <v>333</v>
      </c>
    </row>
    <row r="12" spans="1:21" x14ac:dyDescent="0.25">
      <c r="A12" s="58">
        <v>11</v>
      </c>
      <c r="B12" s="68" t="str">
        <f>KhoiVTM!B74</f>
        <v>505-ADP2303ARDZ-5.0-R7CT-ND</v>
      </c>
      <c r="C12" s="68" t="str">
        <f>KhoiVTM!C74</f>
        <v>ADP2303ARDZ-5.0-R7</v>
      </c>
      <c r="D12" s="80" t="str">
        <f>KhoiVTM!D74</f>
        <v>IC REG BUCK 5V 3A 8SOIC</v>
      </c>
      <c r="E12" s="94" t="s">
        <v>339</v>
      </c>
      <c r="F12" s="72">
        <f>KhoiVTM!F74</f>
        <v>3</v>
      </c>
      <c r="G12" s="89">
        <v>4.1900000000000004</v>
      </c>
      <c r="H12" s="70">
        <f t="shared" si="0"/>
        <v>12.57</v>
      </c>
      <c r="I12" s="91">
        <f t="shared" si="1"/>
        <v>329208.3</v>
      </c>
      <c r="J12" s="72" t="s">
        <v>21</v>
      </c>
      <c r="K12" s="62" t="s">
        <v>22</v>
      </c>
      <c r="L12" s="92" t="s">
        <v>21</v>
      </c>
      <c r="M12" s="64"/>
      <c r="N12" s="72" t="s">
        <v>187</v>
      </c>
      <c r="O12" s="62" t="s">
        <v>299</v>
      </c>
      <c r="P12" s="97" t="s">
        <v>879</v>
      </c>
      <c r="Q12" s="58"/>
      <c r="R12" s="58"/>
      <c r="S12" s="58"/>
      <c r="U12" t="s">
        <v>337</v>
      </c>
    </row>
    <row r="13" spans="1:21" x14ac:dyDescent="0.25">
      <c r="A13" s="58">
        <v>12</v>
      </c>
      <c r="B13" s="68" t="str">
        <f>KhoiVTM!B75</f>
        <v>505-ADP7118AUJZ-3.3-R7CT-ND</v>
      </c>
      <c r="C13" s="68" t="str">
        <f>KhoiVTM!C75</f>
        <v>ADP7118AUJZ-3.3-R7</v>
      </c>
      <c r="D13" s="80" t="str">
        <f>KhoiVTM!D75</f>
        <v>IC REG LIN 3.3V 200MA TSOT-23-5</v>
      </c>
      <c r="E13" s="69" t="s">
        <v>343</v>
      </c>
      <c r="F13" s="72">
        <f>KhoiVTM!F75</f>
        <v>3</v>
      </c>
      <c r="G13" s="89">
        <v>2.94</v>
      </c>
      <c r="H13" s="70">
        <f t="shared" si="0"/>
        <v>8.82</v>
      </c>
      <c r="I13" s="71">
        <f t="shared" si="1"/>
        <v>230995.80000000002</v>
      </c>
      <c r="J13" s="72" t="s">
        <v>21</v>
      </c>
      <c r="K13" s="62" t="s">
        <v>22</v>
      </c>
      <c r="L13" s="92" t="s">
        <v>21</v>
      </c>
      <c r="M13" s="64"/>
      <c r="N13" s="72" t="s">
        <v>187</v>
      </c>
      <c r="O13" s="62" t="s">
        <v>299</v>
      </c>
      <c r="P13" s="97" t="s">
        <v>879</v>
      </c>
      <c r="Q13" s="58"/>
      <c r="R13" s="58"/>
      <c r="S13" s="58"/>
      <c r="U13" t="s">
        <v>341</v>
      </c>
    </row>
    <row r="14" spans="1:21" x14ac:dyDescent="0.25">
      <c r="A14" s="58">
        <v>13</v>
      </c>
      <c r="B14" s="68" t="str">
        <f>KhoiVTM!B76</f>
        <v>478-KGM15ACG1H102FTCT-ND</v>
      </c>
      <c r="C14" s="68" t="str">
        <f>KhoiVTM!C76</f>
        <v>KGM15ACG1H102FT</v>
      </c>
      <c r="D14" s="80" t="str">
        <f>KhoiVTM!D76</f>
        <v>CAP CER 1000PF 50V C0G/NP0 0603</v>
      </c>
      <c r="E14" s="74" t="s">
        <v>347</v>
      </c>
      <c r="F14" s="72">
        <f>KhoiVTM!F76</f>
        <v>10</v>
      </c>
      <c r="G14" s="85">
        <v>2.5999999999999999E-2</v>
      </c>
      <c r="H14" s="75">
        <f t="shared" si="0"/>
        <v>0.26</v>
      </c>
      <c r="I14" s="76">
        <f t="shared" si="1"/>
        <v>6809.4000000000005</v>
      </c>
      <c r="J14" s="62" t="str">
        <f>_xlfn.TEXTBEFORE(_xlfn.TEXTAFTER(D14, "CER "), "F")</f>
        <v>1000P</v>
      </c>
      <c r="K14" s="72" t="s">
        <v>103</v>
      </c>
      <c r="L14" s="92">
        <v>0.01</v>
      </c>
      <c r="M14" s="62" t="str">
        <f t="shared" ref="M14:M19" si="6">RIGHT(TRIM(D14), 4)</f>
        <v>0603</v>
      </c>
      <c r="N14" s="62" t="str">
        <f t="shared" ref="N14:N19" si="7">IF(LEFT(D14,3)="RES", "Resistor", IF(LEFT(D14,3)="CAP", "Capacitor", "Other"))</f>
        <v>Capacitor</v>
      </c>
      <c r="O14" s="62" t="s">
        <v>299</v>
      </c>
      <c r="P14" s="97" t="s">
        <v>879</v>
      </c>
      <c r="Q14" s="58"/>
      <c r="R14" s="58"/>
      <c r="S14" s="58"/>
      <c r="U14" t="s">
        <v>345</v>
      </c>
    </row>
    <row r="15" spans="1:21" x14ac:dyDescent="0.25">
      <c r="A15" s="58">
        <v>14</v>
      </c>
      <c r="B15" s="68" t="str">
        <f>KhoiVTM!B77</f>
        <v>2019-RN73R1JTTD22R0B25CT-ND</v>
      </c>
      <c r="C15" s="68" t="str">
        <f>KhoiVTM!C77</f>
        <v>RN73R1JTTD22R0B25</v>
      </c>
      <c r="D15" s="80" t="str">
        <f>KhoiVTM!D77</f>
        <v>RES 22 OHM 0.1% 1/10W 0603</v>
      </c>
      <c r="E15" s="74" t="s">
        <v>351</v>
      </c>
      <c r="F15" s="72">
        <f>KhoiVTM!F77</f>
        <v>10</v>
      </c>
      <c r="G15" s="85">
        <v>7.0000000000000007E-2</v>
      </c>
      <c r="H15" s="75">
        <f t="shared" si="0"/>
        <v>0.70000000000000007</v>
      </c>
      <c r="I15" s="76">
        <f t="shared" si="1"/>
        <v>18333</v>
      </c>
      <c r="J15" s="62" t="str">
        <f>TRIM(LEFT(SUBSTITUTE(TRIM(SUBSTITUTE(SUBSTITUTE(D15,"RES",""),"SMD",""))," ",REPT(" ",100)),100))</f>
        <v>22</v>
      </c>
      <c r="K15" s="72" t="s">
        <v>50</v>
      </c>
      <c r="L15" s="62" t="str">
        <f>_xlfn.TEXTAFTER(_xlfn.TEXTBEFORE(D15, "%"), " ", -1) &amp; "%"</f>
        <v>0.1%</v>
      </c>
      <c r="M15" s="62" t="str">
        <f t="shared" si="6"/>
        <v>0603</v>
      </c>
      <c r="N15" s="62" t="str">
        <f t="shared" si="7"/>
        <v>Resistor</v>
      </c>
      <c r="O15" s="62" t="s">
        <v>299</v>
      </c>
      <c r="P15" s="97" t="s">
        <v>879</v>
      </c>
      <c r="Q15" s="58"/>
      <c r="R15" s="58"/>
      <c r="S15" s="58"/>
      <c r="U15" t="s">
        <v>349</v>
      </c>
    </row>
    <row r="16" spans="1:21" x14ac:dyDescent="0.25">
      <c r="A16" s="58">
        <v>15</v>
      </c>
      <c r="B16" s="68" t="str">
        <f>KhoiVTM!B78</f>
        <v>490-GCM1885C2A561FA16DCT-ND</v>
      </c>
      <c r="C16" s="68" t="str">
        <f>KhoiVTM!C78</f>
        <v>GCM1885C2A561FA16D</v>
      </c>
      <c r="D16" s="80" t="str">
        <f>KhoiVTM!D78</f>
        <v>CAP CER 560PF 100V C0G/NP0 0603</v>
      </c>
      <c r="E16" s="74" t="s">
        <v>355</v>
      </c>
      <c r="F16" s="72">
        <f>KhoiVTM!F78</f>
        <v>25</v>
      </c>
      <c r="G16" s="85">
        <v>8.2000000000000003E-2</v>
      </c>
      <c r="H16" s="75">
        <f t="shared" si="0"/>
        <v>2.0500000000000003</v>
      </c>
      <c r="I16" s="76">
        <f t="shared" si="1"/>
        <v>53689.500000000007</v>
      </c>
      <c r="J16" s="62" t="str">
        <f>_xlfn.TEXTBEFORE(_xlfn.TEXTAFTER(D16, "CER "), "F")</f>
        <v>560P</v>
      </c>
      <c r="K16" s="72" t="s">
        <v>103</v>
      </c>
      <c r="L16" s="92">
        <v>0.01</v>
      </c>
      <c r="M16" s="62" t="str">
        <f t="shared" si="6"/>
        <v>0603</v>
      </c>
      <c r="N16" s="62" t="str">
        <f t="shared" si="7"/>
        <v>Capacitor</v>
      </c>
      <c r="O16" s="62" t="s">
        <v>299</v>
      </c>
      <c r="P16" s="97" t="s">
        <v>879</v>
      </c>
      <c r="Q16" s="58"/>
      <c r="R16" s="58"/>
      <c r="S16" s="58"/>
      <c r="U16" t="s">
        <v>353</v>
      </c>
    </row>
    <row r="17" spans="1:21" x14ac:dyDescent="0.25">
      <c r="A17" s="58">
        <v>16</v>
      </c>
      <c r="B17" s="68" t="str">
        <f>KhoiVTM!B79</f>
        <v>399-14491-1-ND</v>
      </c>
      <c r="C17" s="68" t="str">
        <f>KhoiVTM!C79</f>
        <v>C0603C161F5GACTU</v>
      </c>
      <c r="D17" s="80" t="str">
        <f>KhoiVTM!D79</f>
        <v>CAP CER 160PF 50V C0G/NP0 0603</v>
      </c>
      <c r="E17" s="74" t="s">
        <v>360</v>
      </c>
      <c r="F17" s="72">
        <f>KhoiVTM!F79</f>
        <v>20</v>
      </c>
      <c r="G17" s="85">
        <v>0.71299999999999997</v>
      </c>
      <c r="H17" s="75">
        <f t="shared" si="0"/>
        <v>14.26</v>
      </c>
      <c r="I17" s="76">
        <f t="shared" si="1"/>
        <v>373469.4</v>
      </c>
      <c r="J17" s="62" t="str">
        <f>_xlfn.TEXTBEFORE(_xlfn.TEXTAFTER(D17, "CER "), "F")</f>
        <v>160P</v>
      </c>
      <c r="K17" s="72" t="s">
        <v>103</v>
      </c>
      <c r="L17" s="92">
        <v>0.01</v>
      </c>
      <c r="M17" s="62" t="str">
        <f t="shared" si="6"/>
        <v>0603</v>
      </c>
      <c r="N17" s="62" t="str">
        <f t="shared" si="7"/>
        <v>Capacitor</v>
      </c>
      <c r="O17" s="62" t="s">
        <v>299</v>
      </c>
      <c r="P17" s="97" t="s">
        <v>879</v>
      </c>
      <c r="Q17" s="58"/>
      <c r="R17" s="58"/>
      <c r="S17" s="58"/>
      <c r="U17" t="s">
        <v>358</v>
      </c>
    </row>
    <row r="18" spans="1:21" x14ac:dyDescent="0.25">
      <c r="A18" s="58">
        <v>17</v>
      </c>
      <c r="B18" s="68" t="str">
        <f>KhoiVTM!B80</f>
        <v>311-3897-1-ND</v>
      </c>
      <c r="C18" s="68" t="str">
        <f>KhoiVTM!C80</f>
        <v>CC0603FRNPO9BN390</v>
      </c>
      <c r="D18" s="80" t="str">
        <f>KhoiVTM!D80</f>
        <v>CAP CER 39PF 50V C0G/NPO 0603</v>
      </c>
      <c r="E18" s="74" t="s">
        <v>364</v>
      </c>
      <c r="F18" s="72">
        <f>KhoiVTM!F80</f>
        <v>10</v>
      </c>
      <c r="G18" s="85">
        <v>0.11799999999999999</v>
      </c>
      <c r="H18" s="75">
        <f t="shared" si="0"/>
        <v>1.18</v>
      </c>
      <c r="I18" s="76">
        <f t="shared" si="1"/>
        <v>30904.199999999997</v>
      </c>
      <c r="J18" s="62" t="str">
        <f>_xlfn.TEXTBEFORE(_xlfn.TEXTAFTER(D18, "CER "), "F")</f>
        <v>39P</v>
      </c>
      <c r="K18" s="72" t="s">
        <v>103</v>
      </c>
      <c r="L18" s="92">
        <v>0.01</v>
      </c>
      <c r="M18" s="62" t="str">
        <f t="shared" si="6"/>
        <v>0603</v>
      </c>
      <c r="N18" s="62" t="str">
        <f t="shared" si="7"/>
        <v>Capacitor</v>
      </c>
      <c r="O18" s="62" t="s">
        <v>299</v>
      </c>
      <c r="P18" s="97" t="s">
        <v>879</v>
      </c>
      <c r="Q18" s="58"/>
      <c r="R18" s="58"/>
      <c r="S18" s="58"/>
      <c r="U18" t="s">
        <v>362</v>
      </c>
    </row>
    <row r="19" spans="1:21" x14ac:dyDescent="0.25">
      <c r="A19" s="58">
        <v>18</v>
      </c>
      <c r="B19" s="68" t="str">
        <f>KhoiVTM!B81</f>
        <v>399-C0603C681F5GACTUCT-ND</v>
      </c>
      <c r="C19" s="68" t="str">
        <f>KhoiVTM!C81</f>
        <v>C0603C681F5GACTU</v>
      </c>
      <c r="D19" s="80" t="str">
        <f>KhoiVTM!D81</f>
        <v>CAP CER 680PF 50V C0G/NP0 0603</v>
      </c>
      <c r="E19" s="74" t="s">
        <v>368</v>
      </c>
      <c r="F19" s="72">
        <f>KhoiVTM!F81</f>
        <v>10</v>
      </c>
      <c r="G19" s="85">
        <v>0.59199999999999997</v>
      </c>
      <c r="H19" s="75">
        <f t="shared" si="0"/>
        <v>5.92</v>
      </c>
      <c r="I19" s="76">
        <f t="shared" si="1"/>
        <v>155044.79999999999</v>
      </c>
      <c r="J19" s="62" t="str">
        <f>_xlfn.TEXTBEFORE(_xlfn.TEXTAFTER(D19, "CER "), "F")</f>
        <v>680P</v>
      </c>
      <c r="K19" s="72" t="s">
        <v>103</v>
      </c>
      <c r="L19" s="92">
        <v>0.01</v>
      </c>
      <c r="M19" s="62" t="str">
        <f t="shared" si="6"/>
        <v>0603</v>
      </c>
      <c r="N19" s="62" t="str">
        <f t="shared" si="7"/>
        <v>Capacitor</v>
      </c>
      <c r="O19" s="62" t="s">
        <v>299</v>
      </c>
      <c r="P19" s="97" t="s">
        <v>879</v>
      </c>
      <c r="Q19" s="58"/>
      <c r="R19" s="58"/>
      <c r="S19" s="58"/>
      <c r="U19" t="s">
        <v>366</v>
      </c>
    </row>
    <row r="20" spans="1:21" x14ac:dyDescent="0.25">
      <c r="A20" s="58">
        <v>19</v>
      </c>
      <c r="B20" s="68" t="str">
        <f>KhoiVTM!B82</f>
        <v>445-MLF1608A1R0JT000CT-ND</v>
      </c>
      <c r="C20" s="68" t="str">
        <f>KhoiVTM!C82</f>
        <v>MLF1608A1R0JT000</v>
      </c>
      <c r="D20" s="80" t="str">
        <f>KhoiVTM!D82</f>
        <v>FIXED IND 1UH 50MA 500 MOHM SMD</v>
      </c>
      <c r="E20" s="69" t="s">
        <v>372</v>
      </c>
      <c r="F20" s="72">
        <f>KhoiVTM!F82</f>
        <v>10</v>
      </c>
      <c r="G20" s="89">
        <v>0.115</v>
      </c>
      <c r="H20" s="70">
        <f t="shared" si="0"/>
        <v>1.1500000000000001</v>
      </c>
      <c r="I20" s="71">
        <f t="shared" si="1"/>
        <v>30118.500000000004</v>
      </c>
      <c r="J20" s="62" t="s">
        <v>373</v>
      </c>
      <c r="K20" s="84" t="s">
        <v>161</v>
      </c>
      <c r="L20" s="92">
        <v>0.05</v>
      </c>
      <c r="M20" s="64" t="s">
        <v>162</v>
      </c>
      <c r="N20" s="84" t="s">
        <v>163</v>
      </c>
      <c r="O20" s="62" t="s">
        <v>299</v>
      </c>
      <c r="P20" s="97" t="s">
        <v>879</v>
      </c>
      <c r="Q20" s="58"/>
      <c r="R20" s="58"/>
      <c r="S20" s="58"/>
      <c r="U20" t="s">
        <v>370</v>
      </c>
    </row>
    <row r="21" spans="1:21" x14ac:dyDescent="0.25">
      <c r="A21" s="58">
        <v>20</v>
      </c>
      <c r="B21" s="68" t="str">
        <f>KhoiVTM!B83</f>
        <v>445-175367-1-ND</v>
      </c>
      <c r="C21" s="68" t="str">
        <f>KhoiVTM!C83</f>
        <v>MLF1608A1R5JT000</v>
      </c>
      <c r="D21" s="80" t="str">
        <f>KhoiVTM!D83</f>
        <v>FIXED IND 1.5UH 50MA 700 MOHM</v>
      </c>
      <c r="E21" s="69" t="s">
        <v>377</v>
      </c>
      <c r="F21" s="72">
        <f>KhoiVTM!F83</f>
        <v>10</v>
      </c>
      <c r="G21" s="89">
        <v>0.115</v>
      </c>
      <c r="H21" s="70">
        <f t="shared" si="0"/>
        <v>1.1500000000000001</v>
      </c>
      <c r="I21" s="71">
        <f t="shared" si="1"/>
        <v>30118.500000000004</v>
      </c>
      <c r="J21" s="62" t="s">
        <v>378</v>
      </c>
      <c r="K21" s="84" t="s">
        <v>161</v>
      </c>
      <c r="L21" s="92">
        <v>0.05</v>
      </c>
      <c r="M21" s="64" t="s">
        <v>162</v>
      </c>
      <c r="N21" s="84" t="s">
        <v>163</v>
      </c>
      <c r="O21" s="62" t="s">
        <v>299</v>
      </c>
      <c r="P21" s="97" t="s">
        <v>879</v>
      </c>
      <c r="Q21" s="58"/>
      <c r="R21" s="58"/>
      <c r="S21" s="58"/>
      <c r="U21" t="s">
        <v>375</v>
      </c>
    </row>
    <row r="22" spans="1:21" x14ac:dyDescent="0.25">
      <c r="A22" s="58">
        <v>21</v>
      </c>
      <c r="B22" s="68" t="str">
        <f>KhoiVTM!B84</f>
        <v>445-MLF1608A1R8JT000CT-ND</v>
      </c>
      <c r="C22" s="68" t="str">
        <f>KhoiVTM!C84</f>
        <v>MLF1608A1R8JT000</v>
      </c>
      <c r="D22" s="80" t="str">
        <f>KhoiVTM!D84</f>
        <v>FIXED IND 1.8UH 50MA 850 MOHM</v>
      </c>
      <c r="E22" s="69" t="s">
        <v>382</v>
      </c>
      <c r="F22" s="72">
        <f>KhoiVTM!F84</f>
        <v>10</v>
      </c>
      <c r="G22" s="89">
        <v>0.115</v>
      </c>
      <c r="H22" s="70">
        <f t="shared" si="0"/>
        <v>1.1500000000000001</v>
      </c>
      <c r="I22" s="71">
        <f t="shared" si="1"/>
        <v>30118.500000000004</v>
      </c>
      <c r="J22" s="62" t="s">
        <v>383</v>
      </c>
      <c r="K22" s="84" t="s">
        <v>161</v>
      </c>
      <c r="L22" s="92">
        <v>0.05</v>
      </c>
      <c r="M22" s="64" t="s">
        <v>162</v>
      </c>
      <c r="N22" s="84" t="s">
        <v>163</v>
      </c>
      <c r="O22" s="62" t="s">
        <v>299</v>
      </c>
      <c r="P22" s="97" t="s">
        <v>879</v>
      </c>
      <c r="Q22" s="58"/>
      <c r="R22" s="58"/>
      <c r="S22" s="58"/>
      <c r="U22" t="s">
        <v>380</v>
      </c>
    </row>
    <row r="23" spans="1:21" x14ac:dyDescent="0.25">
      <c r="A23" s="58">
        <v>22</v>
      </c>
      <c r="B23" s="68" t="str">
        <f>KhoiVTM!B85</f>
        <v>13-CC0603FRNPO9BN201CT-ND</v>
      </c>
      <c r="C23" s="68" t="str">
        <f>KhoiVTM!C85</f>
        <v>CC0603FRNPO9BN201</v>
      </c>
      <c r="D23" s="80" t="str">
        <f>KhoiVTM!D85</f>
        <v>CAP CER 200PF 50V C0G/NPO 0603</v>
      </c>
      <c r="E23" s="74" t="s">
        <v>387</v>
      </c>
      <c r="F23" s="72">
        <f>KhoiVTM!F85</f>
        <v>10</v>
      </c>
      <c r="G23" s="85">
        <v>0.13600000000000001</v>
      </c>
      <c r="H23" s="75">
        <f t="shared" si="0"/>
        <v>1.36</v>
      </c>
      <c r="I23" s="76">
        <f t="shared" si="1"/>
        <v>35618.400000000001</v>
      </c>
      <c r="J23" s="62" t="str">
        <f t="shared" ref="J23:J30" si="8">_xlfn.TEXTBEFORE(_xlfn.TEXTAFTER(D23, "CER "), "F")</f>
        <v>200P</v>
      </c>
      <c r="K23" s="72" t="s">
        <v>103</v>
      </c>
      <c r="L23" s="92">
        <v>0.01</v>
      </c>
      <c r="M23" s="62" t="str">
        <f t="shared" ref="M23:M43" si="9">RIGHT(TRIM(D23), 4)</f>
        <v>0603</v>
      </c>
      <c r="N23" s="62" t="str">
        <f t="shared" ref="N23:N43" si="10">IF(LEFT(D23,3)="RES", "Resistor", IF(LEFT(D23,3)="CAP", "Capacitor", "Other"))</f>
        <v>Capacitor</v>
      </c>
      <c r="O23" s="62" t="s">
        <v>299</v>
      </c>
      <c r="P23" s="97" t="s">
        <v>879</v>
      </c>
      <c r="Q23" s="58"/>
      <c r="R23" s="58"/>
      <c r="S23" s="58"/>
      <c r="U23" t="s">
        <v>385</v>
      </c>
    </row>
    <row r="24" spans="1:21" x14ac:dyDescent="0.25">
      <c r="A24" s="58">
        <v>23</v>
      </c>
      <c r="B24" s="68" t="str">
        <f>KhoiVTM!B86</f>
        <v>399-C0603C391F5GACTUCT-ND</v>
      </c>
      <c r="C24" s="68" t="str">
        <f>KhoiVTM!C86</f>
        <v>C0603C391F5GACTU</v>
      </c>
      <c r="D24" s="80" t="str">
        <f>KhoiVTM!D86</f>
        <v>CAP CER 390PF 50V C0G/NP0 0603</v>
      </c>
      <c r="E24" s="74" t="s">
        <v>391</v>
      </c>
      <c r="F24" s="72">
        <f>KhoiVTM!F86</f>
        <v>5</v>
      </c>
      <c r="G24" s="85">
        <v>1.1399999999999999</v>
      </c>
      <c r="H24" s="75">
        <f t="shared" si="0"/>
        <v>5.6999999999999993</v>
      </c>
      <c r="I24" s="76">
        <f t="shared" si="1"/>
        <v>149282.99999999997</v>
      </c>
      <c r="J24" s="62" t="str">
        <f t="shared" si="8"/>
        <v>390P</v>
      </c>
      <c r="K24" s="72" t="s">
        <v>103</v>
      </c>
      <c r="L24" s="92">
        <v>0.01</v>
      </c>
      <c r="M24" s="62" t="str">
        <f t="shared" si="9"/>
        <v>0603</v>
      </c>
      <c r="N24" s="62" t="str">
        <f t="shared" si="10"/>
        <v>Capacitor</v>
      </c>
      <c r="O24" s="62" t="s">
        <v>299</v>
      </c>
      <c r="P24" s="97" t="s">
        <v>879</v>
      </c>
      <c r="Q24" s="58"/>
      <c r="R24" s="58"/>
      <c r="S24" s="58"/>
      <c r="U24" t="s">
        <v>389</v>
      </c>
    </row>
    <row r="25" spans="1:21" x14ac:dyDescent="0.25">
      <c r="A25" s="58">
        <v>24</v>
      </c>
      <c r="B25" s="68" t="str">
        <f>KhoiVTM!B87</f>
        <v>1276-1069-1-ND</v>
      </c>
      <c r="C25" s="68" t="str">
        <f>KhoiVTM!C87</f>
        <v>CL10C100CB8NNNC</v>
      </c>
      <c r="D25" s="80" t="str">
        <f>KhoiVTM!D87</f>
        <v>CAP CER 10PF 50V C0G/NP0 0603</v>
      </c>
      <c r="E25" s="74" t="s">
        <v>396</v>
      </c>
      <c r="F25" s="72">
        <f>KhoiVTM!F87</f>
        <v>50</v>
      </c>
      <c r="G25" s="85">
        <v>1.9199999999999998E-2</v>
      </c>
      <c r="H25" s="75">
        <f t="shared" si="0"/>
        <v>0.96</v>
      </c>
      <c r="I25" s="76">
        <f t="shared" si="1"/>
        <v>25142.399999999998</v>
      </c>
      <c r="J25" s="62" t="str">
        <f t="shared" si="8"/>
        <v>10P</v>
      </c>
      <c r="K25" s="72" t="s">
        <v>103</v>
      </c>
      <c r="L25" s="92">
        <v>2.5000000000000001E-3</v>
      </c>
      <c r="M25" s="62" t="str">
        <f t="shared" si="9"/>
        <v>0603</v>
      </c>
      <c r="N25" s="62" t="str">
        <f t="shared" si="10"/>
        <v>Capacitor</v>
      </c>
      <c r="O25" s="62" t="s">
        <v>299</v>
      </c>
      <c r="P25" s="97" t="s">
        <v>879</v>
      </c>
      <c r="Q25" s="58"/>
      <c r="R25" s="58"/>
      <c r="S25" s="58"/>
      <c r="U25" t="s">
        <v>394</v>
      </c>
    </row>
    <row r="26" spans="1:21" x14ac:dyDescent="0.25">
      <c r="A26" s="58">
        <v>25</v>
      </c>
      <c r="B26" s="68" t="str">
        <f>KhoiVTM!B88</f>
        <v>490-8120-1-ND</v>
      </c>
      <c r="C26" s="68" t="str">
        <f>KhoiVTM!C88</f>
        <v>GQM1875C2E120GB12D</v>
      </c>
      <c r="D26" s="80" t="str">
        <f>KhoiVTM!D88</f>
        <v>CAP CER 12PF 250V C0G/NP0 0603</v>
      </c>
      <c r="E26" s="74" t="s">
        <v>880</v>
      </c>
      <c r="F26" s="72">
        <f>KhoiVTM!F88</f>
        <v>10</v>
      </c>
      <c r="G26" s="85">
        <v>0.184</v>
      </c>
      <c r="H26" s="75">
        <f t="shared" si="0"/>
        <v>1.8399999999999999</v>
      </c>
      <c r="I26" s="76">
        <f t="shared" si="1"/>
        <v>48189.599999999999</v>
      </c>
      <c r="J26" s="62" t="str">
        <f t="shared" si="8"/>
        <v>12P</v>
      </c>
      <c r="K26" s="72" t="s">
        <v>103</v>
      </c>
      <c r="L26" s="92">
        <v>0.01</v>
      </c>
      <c r="M26" s="62" t="str">
        <f t="shared" si="9"/>
        <v>0603</v>
      </c>
      <c r="N26" s="62" t="str">
        <f t="shared" si="10"/>
        <v>Capacitor</v>
      </c>
      <c r="O26" s="62" t="s">
        <v>299</v>
      </c>
      <c r="P26" s="97" t="s">
        <v>879</v>
      </c>
      <c r="Q26" s="58"/>
      <c r="R26" s="58"/>
      <c r="S26" s="58"/>
      <c r="U26" t="s">
        <v>398</v>
      </c>
    </row>
    <row r="27" spans="1:21" x14ac:dyDescent="0.25">
      <c r="A27" s="58">
        <v>26</v>
      </c>
      <c r="B27" s="68" t="str">
        <f>KhoiVTM!B89</f>
        <v>399-C0603C121F5GACTUCT-ND</v>
      </c>
      <c r="C27" s="68" t="str">
        <f>KhoiVTM!C89</f>
        <v>C0603C121F5GACTU</v>
      </c>
      <c r="D27" s="80" t="str">
        <f>KhoiVTM!D89</f>
        <v>CAP CER 120PF 50V C0G/NP0 0603</v>
      </c>
      <c r="E27" s="74" t="s">
        <v>408</v>
      </c>
      <c r="F27" s="72">
        <f>KhoiVTM!F89</f>
        <v>10</v>
      </c>
      <c r="G27" s="85">
        <v>1.01</v>
      </c>
      <c r="H27" s="75">
        <f t="shared" si="0"/>
        <v>10.1</v>
      </c>
      <c r="I27" s="76">
        <f t="shared" si="1"/>
        <v>264519</v>
      </c>
      <c r="J27" s="62" t="str">
        <f t="shared" si="8"/>
        <v>120P</v>
      </c>
      <c r="K27" s="72" t="s">
        <v>103</v>
      </c>
      <c r="L27" s="92">
        <v>0.01</v>
      </c>
      <c r="M27" s="62" t="str">
        <f t="shared" si="9"/>
        <v>0603</v>
      </c>
      <c r="N27" s="62" t="str">
        <f t="shared" si="10"/>
        <v>Capacitor</v>
      </c>
      <c r="O27" s="62" t="s">
        <v>299</v>
      </c>
      <c r="P27" s="97" t="s">
        <v>879</v>
      </c>
      <c r="Q27" s="58"/>
      <c r="R27" s="58"/>
      <c r="S27" s="58"/>
      <c r="U27" t="s">
        <v>406</v>
      </c>
    </row>
    <row r="28" spans="1:21" x14ac:dyDescent="0.25">
      <c r="A28" s="58">
        <v>27</v>
      </c>
      <c r="B28" s="68" t="str">
        <f>KhoiVTM!B90</f>
        <v>311-3906-1-ND</v>
      </c>
      <c r="C28" s="68" t="str">
        <f>KhoiVTM!C90</f>
        <v>CC0603FRNPO9BN820</v>
      </c>
      <c r="D28" s="80" t="str">
        <f>KhoiVTM!D90</f>
        <v>CAP CER 82PF 50V C0G/NPO 0603</v>
      </c>
      <c r="E28" s="74" t="s">
        <v>412</v>
      </c>
      <c r="F28" s="72">
        <f>KhoiVTM!F90</f>
        <v>10</v>
      </c>
      <c r="G28" s="85">
        <v>8.5999999999999993E-2</v>
      </c>
      <c r="H28" s="75">
        <f t="shared" si="0"/>
        <v>0.85999999999999988</v>
      </c>
      <c r="I28" s="76">
        <f t="shared" si="1"/>
        <v>22523.399999999998</v>
      </c>
      <c r="J28" s="62" t="str">
        <f t="shared" si="8"/>
        <v>82P</v>
      </c>
      <c r="K28" s="72" t="s">
        <v>103</v>
      </c>
      <c r="L28" s="92">
        <v>0.01</v>
      </c>
      <c r="M28" s="62" t="str">
        <f t="shared" si="9"/>
        <v>0603</v>
      </c>
      <c r="N28" s="62" t="str">
        <f t="shared" si="10"/>
        <v>Capacitor</v>
      </c>
      <c r="O28" s="62" t="s">
        <v>299</v>
      </c>
      <c r="P28" s="97" t="s">
        <v>879</v>
      </c>
      <c r="Q28" s="58"/>
      <c r="R28" s="58"/>
      <c r="S28" s="58"/>
      <c r="U28" t="s">
        <v>410</v>
      </c>
    </row>
    <row r="29" spans="1:21" x14ac:dyDescent="0.25">
      <c r="A29" s="58">
        <v>28</v>
      </c>
      <c r="B29" s="68" t="str">
        <f>KhoiVTM!B91</f>
        <v>478-KGM15ACG1H221FTCT-ND</v>
      </c>
      <c r="C29" s="68" t="str">
        <f>KhoiVTM!C91</f>
        <v>KGM15ACG1H221FT</v>
      </c>
      <c r="D29" s="80" t="str">
        <f>KhoiVTM!D91</f>
        <v>CAP CER 220PF 50V C0G/NP0 0603</v>
      </c>
      <c r="E29" s="74" t="s">
        <v>416</v>
      </c>
      <c r="F29" s="72">
        <f>KhoiVTM!F91</f>
        <v>10</v>
      </c>
      <c r="G29" s="85">
        <v>0.32200000000000001</v>
      </c>
      <c r="H29" s="75">
        <f t="shared" si="0"/>
        <v>3.22</v>
      </c>
      <c r="I29" s="76">
        <f t="shared" si="1"/>
        <v>84331.8</v>
      </c>
      <c r="J29" s="62" t="str">
        <f t="shared" si="8"/>
        <v>220P</v>
      </c>
      <c r="K29" s="72" t="s">
        <v>103</v>
      </c>
      <c r="L29" s="92">
        <v>0.01</v>
      </c>
      <c r="M29" s="62" t="str">
        <f t="shared" si="9"/>
        <v>0603</v>
      </c>
      <c r="N29" s="62" t="str">
        <f t="shared" si="10"/>
        <v>Capacitor</v>
      </c>
      <c r="O29" s="62" t="s">
        <v>299</v>
      </c>
      <c r="P29" s="97" t="s">
        <v>879</v>
      </c>
      <c r="Q29" s="58"/>
      <c r="R29" s="58"/>
      <c r="S29" s="58"/>
      <c r="U29" t="s">
        <v>414</v>
      </c>
    </row>
    <row r="30" spans="1:21" x14ac:dyDescent="0.25">
      <c r="A30" s="58">
        <v>29</v>
      </c>
      <c r="B30" s="68" t="str">
        <f>KhoiVTM!B92</f>
        <v>399-C0805C473J3GACTUCT-ND</v>
      </c>
      <c r="C30" s="68" t="str">
        <f>KhoiVTM!C92</f>
        <v>C0805C473J3GACTU</v>
      </c>
      <c r="D30" s="80" t="str">
        <f>KhoiVTM!D92</f>
        <v>CAP CER 0.047UF 25V C0G/NP0 0805</v>
      </c>
      <c r="E30" s="74" t="s">
        <v>420</v>
      </c>
      <c r="F30" s="72">
        <f>KhoiVTM!F92</f>
        <v>10</v>
      </c>
      <c r="G30" s="85">
        <v>0.77</v>
      </c>
      <c r="H30" s="75">
        <f t="shared" si="0"/>
        <v>7.7</v>
      </c>
      <c r="I30" s="76">
        <f t="shared" si="1"/>
        <v>201663</v>
      </c>
      <c r="J30" s="62" t="str">
        <f t="shared" si="8"/>
        <v>0.047U</v>
      </c>
      <c r="K30" s="72" t="s">
        <v>103</v>
      </c>
      <c r="L30" s="92">
        <v>0.01</v>
      </c>
      <c r="M30" s="81" t="str">
        <f t="shared" si="9"/>
        <v>0805</v>
      </c>
      <c r="N30" s="62" t="str">
        <f t="shared" si="10"/>
        <v>Capacitor</v>
      </c>
      <c r="O30" s="62" t="s">
        <v>299</v>
      </c>
      <c r="P30" s="97" t="s">
        <v>879</v>
      </c>
      <c r="Q30" s="58"/>
      <c r="R30" s="58"/>
      <c r="S30" s="58"/>
      <c r="U30" t="s">
        <v>418</v>
      </c>
    </row>
    <row r="31" spans="1:21" x14ac:dyDescent="0.25">
      <c r="A31" s="58">
        <v>30</v>
      </c>
      <c r="B31" s="68" t="str">
        <f>KhoiVTM!B93</f>
        <v>RNCF0603TKY100RCT-ND</v>
      </c>
      <c r="C31" s="68" t="str">
        <f>KhoiVTM!C93</f>
        <v>RNCF0603TKY100R</v>
      </c>
      <c r="D31" s="80" t="str">
        <f>KhoiVTM!D93</f>
        <v>RES SMD 100 OHM 0.01% 1/10W 0603</v>
      </c>
      <c r="E31" s="74" t="s">
        <v>424</v>
      </c>
      <c r="F31" s="72">
        <f>KhoiVTM!F93</f>
        <v>10</v>
      </c>
      <c r="G31" s="85">
        <v>1.3340000000000001</v>
      </c>
      <c r="H31" s="75">
        <f t="shared" si="0"/>
        <v>13.34</v>
      </c>
      <c r="I31" s="76">
        <f t="shared" si="1"/>
        <v>349374.6</v>
      </c>
      <c r="J31" s="62" t="str">
        <f>TRIM(LEFT(SUBSTITUTE(TRIM(SUBSTITUTE(SUBSTITUTE(D31,"RES",""),"SMD",""))," ",REPT(" ",100)),100))</f>
        <v>100</v>
      </c>
      <c r="K31" s="62" t="s">
        <v>50</v>
      </c>
      <c r="L31" s="62" t="str">
        <f>_xlfn.TEXTAFTER(_xlfn.TEXTBEFORE(D31, "%"), " ", -1) &amp; "%"</f>
        <v>0.01%</v>
      </c>
      <c r="M31" s="62" t="str">
        <f t="shared" si="9"/>
        <v>0603</v>
      </c>
      <c r="N31" s="62" t="str">
        <f t="shared" si="10"/>
        <v>Resistor</v>
      </c>
      <c r="O31" s="62" t="s">
        <v>299</v>
      </c>
      <c r="P31" s="97" t="s">
        <v>879</v>
      </c>
      <c r="Q31" s="58"/>
      <c r="R31" s="58"/>
      <c r="S31" s="58"/>
      <c r="U31" t="s">
        <v>422</v>
      </c>
    </row>
    <row r="32" spans="1:21" x14ac:dyDescent="0.25">
      <c r="A32" s="58">
        <v>31</v>
      </c>
      <c r="B32" s="68" t="str">
        <f>KhoiVTM!B94</f>
        <v>712-QSCP251Q1R0A1GV001TCT-ND</v>
      </c>
      <c r="C32" s="68" t="str">
        <f>KhoiVTM!C94</f>
        <v>QSCP251Q1R0A1GV001T</v>
      </c>
      <c r="D32" s="80" t="str">
        <f>KhoiVTM!D94</f>
        <v>CAP CER 1PF 250V NP0 0603</v>
      </c>
      <c r="E32" s="74" t="s">
        <v>428</v>
      </c>
      <c r="F32" s="72">
        <f>KhoiVTM!F94</f>
        <v>25</v>
      </c>
      <c r="G32" s="85">
        <v>0.222</v>
      </c>
      <c r="H32" s="75">
        <f t="shared" si="0"/>
        <v>5.55</v>
      </c>
      <c r="I32" s="76">
        <f t="shared" si="1"/>
        <v>145354.5</v>
      </c>
      <c r="J32" s="62" t="str">
        <f>_xlfn.TEXTBEFORE(_xlfn.TEXTAFTER(D32, "CER "), "F")</f>
        <v>1P</v>
      </c>
      <c r="K32" s="72" t="s">
        <v>103</v>
      </c>
      <c r="L32" s="92">
        <v>5.0000000000000001E-4</v>
      </c>
      <c r="M32" s="62" t="str">
        <f t="shared" si="9"/>
        <v>0603</v>
      </c>
      <c r="N32" s="62" t="str">
        <f t="shared" si="10"/>
        <v>Capacitor</v>
      </c>
      <c r="O32" s="62" t="s">
        <v>299</v>
      </c>
      <c r="P32" s="97" t="s">
        <v>879</v>
      </c>
      <c r="Q32" s="58"/>
      <c r="R32" s="58"/>
      <c r="S32" s="58"/>
      <c r="U32" t="s">
        <v>426</v>
      </c>
    </row>
    <row r="33" spans="1:21" x14ac:dyDescent="0.25">
      <c r="A33" s="58">
        <v>32</v>
      </c>
      <c r="B33" s="68" t="str">
        <f>KhoiVTM!B95</f>
        <v>490-GRT1885C1E103FA02DCT-ND</v>
      </c>
      <c r="C33" s="68" t="str">
        <f>KhoiVTM!C95</f>
        <v>GRT1885C1E103FA02D</v>
      </c>
      <c r="D33" s="80" t="str">
        <f>KhoiVTM!D95</f>
        <v>CAP CER 10000PF 25V C0G/NP0 0603</v>
      </c>
      <c r="E33" s="98" t="s">
        <v>432</v>
      </c>
      <c r="F33" s="72">
        <f>KhoiVTM!F95</f>
        <v>10</v>
      </c>
      <c r="G33" s="85">
        <v>0.127</v>
      </c>
      <c r="H33" s="75">
        <f t="shared" si="0"/>
        <v>1.27</v>
      </c>
      <c r="I33" s="76">
        <f t="shared" si="1"/>
        <v>33261.300000000003</v>
      </c>
      <c r="J33" s="62" t="str">
        <f>_xlfn.TEXTBEFORE(_xlfn.TEXTAFTER(D33, "CER "), "F")</f>
        <v>10000P</v>
      </c>
      <c r="K33" s="72" t="s">
        <v>103</v>
      </c>
      <c r="L33" s="99">
        <v>0.01</v>
      </c>
      <c r="M33" s="62" t="str">
        <f t="shared" si="9"/>
        <v>0603</v>
      </c>
      <c r="N33" s="62" t="str">
        <f t="shared" si="10"/>
        <v>Capacitor</v>
      </c>
      <c r="O33" s="62" t="s">
        <v>299</v>
      </c>
      <c r="P33" s="97" t="s">
        <v>879</v>
      </c>
      <c r="Q33" s="58"/>
      <c r="R33" s="58"/>
      <c r="S33" s="58"/>
      <c r="U33" t="s">
        <v>430</v>
      </c>
    </row>
    <row r="34" spans="1:21" x14ac:dyDescent="0.25">
      <c r="A34" s="58">
        <v>33</v>
      </c>
      <c r="B34" s="68" t="str">
        <f>KhoiVTM!B96</f>
        <v>P2.0KBECT-ND</v>
      </c>
      <c r="C34" s="68" t="str">
        <f>KhoiVTM!C96</f>
        <v>ERA-3ARW202V</v>
      </c>
      <c r="D34" s="80" t="str">
        <f>KhoiVTM!D96</f>
        <v>RES SMD 2K OHM 0.05% 1/10W 0603</v>
      </c>
      <c r="E34" s="98" t="s">
        <v>437</v>
      </c>
      <c r="F34" s="72">
        <f>KhoiVTM!F96</f>
        <v>10</v>
      </c>
      <c r="G34" s="85">
        <v>0.38919999999999999</v>
      </c>
      <c r="H34" s="75">
        <f t="shared" ref="H34:H51" si="11">G34*F34</f>
        <v>3.8919999999999999</v>
      </c>
      <c r="I34" s="76">
        <f t="shared" si="1"/>
        <v>101931.48</v>
      </c>
      <c r="J34" s="62" t="str">
        <f t="shared" ref="J34" si="12">TRIM(LEFT(SUBSTITUTE(TRIM(SUBSTITUTE(SUBSTITUTE(D34,"RES",""),"SMD",""))," ",REPT(" ",100)),100))</f>
        <v>2K</v>
      </c>
      <c r="K34" s="62" t="s">
        <v>50</v>
      </c>
      <c r="L34" s="62" t="str">
        <f>_xlfn.TEXTAFTER(_xlfn.TEXTBEFORE(D34, "%"), " ", -1) &amp; "%"</f>
        <v>0.05%</v>
      </c>
      <c r="M34" s="62" t="str">
        <f t="shared" si="9"/>
        <v>0603</v>
      </c>
      <c r="N34" s="62" t="str">
        <f t="shared" si="10"/>
        <v>Resistor</v>
      </c>
      <c r="O34" s="62" t="s">
        <v>299</v>
      </c>
      <c r="P34" s="97" t="s">
        <v>879</v>
      </c>
      <c r="Q34" s="58"/>
      <c r="R34" s="58"/>
      <c r="S34" s="58"/>
      <c r="U34" t="s">
        <v>435</v>
      </c>
    </row>
    <row r="35" spans="1:21" x14ac:dyDescent="0.25">
      <c r="A35" s="58">
        <v>34</v>
      </c>
      <c r="B35" s="68" t="str">
        <f>KhoiVTM!B97</f>
        <v>10-ERA-3AEB52R3VCT-ND</v>
      </c>
      <c r="C35" s="68" t="str">
        <f>KhoiVTM!C97</f>
        <v>ERA-3AEB52R3V</v>
      </c>
      <c r="D35" s="80" t="str">
        <f>KhoiVTM!D97</f>
        <v>RES SMD 52.3 OHM 0.1% 1/10W 0603</v>
      </c>
      <c r="E35" s="100" t="s">
        <v>441</v>
      </c>
      <c r="F35" s="72">
        <f>KhoiVTM!F97</f>
        <v>25</v>
      </c>
      <c r="G35" s="89">
        <v>8.8800000000000004E-2</v>
      </c>
      <c r="H35" s="70">
        <f t="shared" si="11"/>
        <v>2.2200000000000002</v>
      </c>
      <c r="I35" s="71">
        <f t="shared" si="1"/>
        <v>58141.8</v>
      </c>
      <c r="J35" s="62" t="str">
        <f>TRIM(LEFT(SUBSTITUTE(TRIM(SUBSTITUTE(SUBSTITUTE(D35,"RES",""),"SMD",""))," ",REPT(" ",100)),100))</f>
        <v>52.3</v>
      </c>
      <c r="K35" s="62" t="s">
        <v>50</v>
      </c>
      <c r="L35" s="62" t="str">
        <f>_xlfn.TEXTAFTER(_xlfn.TEXTBEFORE(D35, "%"), " ", -1) &amp; "%"</f>
        <v>0.1%</v>
      </c>
      <c r="M35" s="62" t="str">
        <f t="shared" si="9"/>
        <v>0603</v>
      </c>
      <c r="N35" s="62" t="str">
        <f t="shared" si="10"/>
        <v>Resistor</v>
      </c>
      <c r="O35" s="62" t="s">
        <v>299</v>
      </c>
      <c r="P35" s="97" t="s">
        <v>879</v>
      </c>
      <c r="Q35" s="58"/>
      <c r="R35" s="58"/>
      <c r="S35" s="58"/>
      <c r="U35" t="s">
        <v>439</v>
      </c>
    </row>
    <row r="36" spans="1:21" x14ac:dyDescent="0.25">
      <c r="A36" s="58">
        <v>35</v>
      </c>
      <c r="B36" s="68" t="str">
        <f>KhoiVTM!B98</f>
        <v>490-GCM31C5C1H104FA16LCT-ND</v>
      </c>
      <c r="C36" s="68" t="str">
        <f>KhoiVTM!C98</f>
        <v>GCM31C5C1H104FA16L</v>
      </c>
      <c r="D36" s="80" t="str">
        <f>KhoiVTM!D98</f>
        <v>CAP CER 0.1UF 50V C0G/NP0 1206</v>
      </c>
      <c r="E36" s="100" t="s">
        <v>445</v>
      </c>
      <c r="F36" s="72">
        <f>KhoiVTM!F98</f>
        <v>10</v>
      </c>
      <c r="G36" s="89">
        <v>0.67</v>
      </c>
      <c r="H36" s="70">
        <f t="shared" si="11"/>
        <v>6.7</v>
      </c>
      <c r="I36" s="71">
        <f t="shared" si="1"/>
        <v>175473</v>
      </c>
      <c r="J36" s="62" t="str">
        <f>_xlfn.TEXTBEFORE(_xlfn.TEXTAFTER(D36, "CER "), "F")</f>
        <v>0.1U</v>
      </c>
      <c r="K36" s="72" t="s">
        <v>103</v>
      </c>
      <c r="L36" s="99">
        <v>0.01</v>
      </c>
      <c r="M36" s="81" t="str">
        <f t="shared" si="9"/>
        <v>1206</v>
      </c>
      <c r="N36" s="62" t="str">
        <f t="shared" si="10"/>
        <v>Capacitor</v>
      </c>
      <c r="O36" s="62" t="s">
        <v>299</v>
      </c>
      <c r="P36" s="97" t="s">
        <v>879</v>
      </c>
      <c r="Q36" s="58"/>
      <c r="R36" s="58"/>
      <c r="S36" s="58"/>
      <c r="U36" t="s">
        <v>443</v>
      </c>
    </row>
    <row r="37" spans="1:21" x14ac:dyDescent="0.25">
      <c r="A37" s="58">
        <v>36</v>
      </c>
      <c r="B37" s="68" t="str">
        <f>KhoiVTM!B99</f>
        <v>RMCF0805FT60K4CT-ND</v>
      </c>
      <c r="C37" s="68" t="str">
        <f>KhoiVTM!C99</f>
        <v>RMCF0805FT60K4</v>
      </c>
      <c r="D37" s="80" t="str">
        <f>KhoiVTM!D99</f>
        <v>RES 60.4K OHM 1% 1/8W 0805</v>
      </c>
      <c r="E37" s="100" t="s">
        <v>185</v>
      </c>
      <c r="F37" s="72">
        <f>KhoiVTM!F99</f>
        <v>10</v>
      </c>
      <c r="G37" s="89">
        <v>0.25800000000000001</v>
      </c>
      <c r="H37" s="70">
        <f t="shared" si="11"/>
        <v>2.58</v>
      </c>
      <c r="I37" s="71">
        <f t="shared" si="1"/>
        <v>67570.2</v>
      </c>
      <c r="J37" s="62" t="str">
        <f>TRIM(LEFT(SUBSTITUTE(TRIM(SUBSTITUTE(SUBSTITUTE(D37,"RES",""),"SMD",""))," ",REPT(" ",100)),100))</f>
        <v>60.4K</v>
      </c>
      <c r="K37" s="62" t="s">
        <v>50</v>
      </c>
      <c r="L37" s="62" t="str">
        <f>_xlfn.TEXTAFTER(_xlfn.TEXTBEFORE(D37, "%"), " ", -1) &amp; "%"</f>
        <v>1%</v>
      </c>
      <c r="M37" s="81" t="str">
        <f t="shared" si="9"/>
        <v>0805</v>
      </c>
      <c r="N37" s="62" t="str">
        <f t="shared" si="10"/>
        <v>Resistor</v>
      </c>
      <c r="O37" s="62" t="s">
        <v>299</v>
      </c>
      <c r="P37" s="97" t="s">
        <v>879</v>
      </c>
      <c r="Q37" s="58"/>
      <c r="R37" s="58"/>
      <c r="S37" s="58"/>
      <c r="U37" t="s">
        <v>448</v>
      </c>
    </row>
    <row r="38" spans="1:21" x14ac:dyDescent="0.25">
      <c r="A38" s="58">
        <v>37</v>
      </c>
      <c r="B38" s="68" t="str">
        <f>KhoiVTM!B100</f>
        <v>311-24.3KCRCT-ND</v>
      </c>
      <c r="C38" s="68" t="str">
        <f>KhoiVTM!C100</f>
        <v>RC0805FR-0724K3L</v>
      </c>
      <c r="D38" s="80" t="str">
        <f>KhoiVTM!D100</f>
        <v>RES 24.3K OHM 1% 1/8W 0805</v>
      </c>
      <c r="E38" s="100" t="s">
        <v>453</v>
      </c>
      <c r="F38" s="72">
        <f>KhoiVTM!F100</f>
        <v>25</v>
      </c>
      <c r="G38" s="89">
        <v>4.3999999999999997E-2</v>
      </c>
      <c r="H38" s="70">
        <f t="shared" si="11"/>
        <v>1.0999999999999999</v>
      </c>
      <c r="I38" s="71">
        <f t="shared" si="1"/>
        <v>28808.999999999996</v>
      </c>
      <c r="J38" s="62" t="str">
        <f>TRIM(LEFT(SUBSTITUTE(TRIM(SUBSTITUTE(SUBSTITUTE(D38,"RES",""),"SMD",""))," ",REPT(" ",100)),100))</f>
        <v>24.3K</v>
      </c>
      <c r="K38" s="62" t="s">
        <v>50</v>
      </c>
      <c r="L38" s="62" t="str">
        <f>_xlfn.TEXTAFTER(_xlfn.TEXTBEFORE(D38, "%"), " ", -1) &amp; "%"</f>
        <v>1%</v>
      </c>
      <c r="M38" s="81" t="str">
        <f t="shared" si="9"/>
        <v>0805</v>
      </c>
      <c r="N38" s="62" t="str">
        <f t="shared" si="10"/>
        <v>Resistor</v>
      </c>
      <c r="O38" s="62" t="s">
        <v>299</v>
      </c>
      <c r="P38" s="97" t="s">
        <v>879</v>
      </c>
      <c r="Q38" s="58"/>
      <c r="R38" s="58"/>
      <c r="S38" s="58"/>
      <c r="U38" t="s">
        <v>451</v>
      </c>
    </row>
    <row r="39" spans="1:21" x14ac:dyDescent="0.25">
      <c r="A39" s="58">
        <v>38</v>
      </c>
      <c r="B39" s="68" t="str">
        <f>KhoiVTM!B101</f>
        <v>RMCF0805FT150KCT-ND</v>
      </c>
      <c r="C39" s="68" t="str">
        <f>KhoiVTM!C101</f>
        <v>RMCF0805FT150K</v>
      </c>
      <c r="D39" s="80" t="str">
        <f>KhoiVTM!D101</f>
        <v>RES 150K OHM 1% 1/8W 0805</v>
      </c>
      <c r="E39" s="100" t="s">
        <v>457</v>
      </c>
      <c r="F39" s="72">
        <f>KhoiVTM!F101</f>
        <v>25</v>
      </c>
      <c r="G39" s="89">
        <v>3.6999999999999998E-2</v>
      </c>
      <c r="H39" s="70">
        <f t="shared" si="11"/>
        <v>0.92499999999999993</v>
      </c>
      <c r="I39" s="71">
        <f t="shared" si="1"/>
        <v>24225.75</v>
      </c>
      <c r="J39" s="62" t="str">
        <f>TRIM(LEFT(SUBSTITUTE(TRIM(SUBSTITUTE(SUBSTITUTE(D39,"RES",""),"SMD",""))," ",REPT(" ",100)),100))</f>
        <v>150K</v>
      </c>
      <c r="K39" s="62" t="s">
        <v>50</v>
      </c>
      <c r="L39" s="62" t="str">
        <f>_xlfn.TEXTAFTER(_xlfn.TEXTBEFORE(D39, "%"), " ", -1) &amp; "%"</f>
        <v>1%</v>
      </c>
      <c r="M39" s="62" t="str">
        <f t="shared" si="9"/>
        <v>0805</v>
      </c>
      <c r="N39" s="62" t="str">
        <f t="shared" si="10"/>
        <v>Resistor</v>
      </c>
      <c r="O39" s="62" t="s">
        <v>299</v>
      </c>
      <c r="P39" s="97" t="s">
        <v>879</v>
      </c>
      <c r="Q39" s="58"/>
      <c r="R39" s="58"/>
      <c r="S39" s="58"/>
      <c r="U39" t="s">
        <v>455</v>
      </c>
    </row>
    <row r="40" spans="1:21" x14ac:dyDescent="0.25">
      <c r="A40" s="58">
        <v>39</v>
      </c>
      <c r="B40" s="68" t="str">
        <f>KhoiVTM!B102</f>
        <v>1276-1040-1-ND</v>
      </c>
      <c r="C40" s="68" t="str">
        <f>KhoiVTM!C102</f>
        <v>CL10A225KO8NNNC</v>
      </c>
      <c r="D40" s="80" t="str">
        <f>KhoiVTM!D102</f>
        <v>CAP CER 2.2UF 16V X5R 0603</v>
      </c>
      <c r="E40" s="100" t="s">
        <v>461</v>
      </c>
      <c r="F40" s="72">
        <f>KhoiVTM!F102</f>
        <v>20</v>
      </c>
      <c r="G40" s="89">
        <v>6.6000000000000003E-2</v>
      </c>
      <c r="H40" s="70">
        <f t="shared" si="11"/>
        <v>1.32</v>
      </c>
      <c r="I40" s="71">
        <f t="shared" si="1"/>
        <v>34570.800000000003</v>
      </c>
      <c r="J40" s="62" t="s">
        <v>462</v>
      </c>
      <c r="K40" s="72" t="s">
        <v>103</v>
      </c>
      <c r="L40" s="99">
        <v>0.1</v>
      </c>
      <c r="M40" s="62" t="str">
        <f t="shared" si="9"/>
        <v>0603</v>
      </c>
      <c r="N40" s="62" t="str">
        <f t="shared" si="10"/>
        <v>Capacitor</v>
      </c>
      <c r="O40" s="62" t="s">
        <v>299</v>
      </c>
      <c r="P40" s="97" t="s">
        <v>879</v>
      </c>
      <c r="Q40" s="58"/>
      <c r="R40" s="58"/>
      <c r="S40" s="58"/>
      <c r="U40" t="s">
        <v>459</v>
      </c>
    </row>
    <row r="41" spans="1:21" x14ac:dyDescent="0.25">
      <c r="A41" s="58">
        <v>40</v>
      </c>
      <c r="B41" s="68" t="str">
        <f>KhoiVTM!B103</f>
        <v>490-3886-1-ND</v>
      </c>
      <c r="C41" s="68" t="str">
        <f>KhoiVTM!C103</f>
        <v>GRM21BR61C106KE15L</v>
      </c>
      <c r="D41" s="80" t="str">
        <f>KhoiVTM!D103</f>
        <v>CAP CER 10UF 16V X5R 0805</v>
      </c>
      <c r="E41" s="77" t="s">
        <v>239</v>
      </c>
      <c r="F41" s="72">
        <f>KhoiVTM!F103</f>
        <v>15</v>
      </c>
      <c r="G41" s="85">
        <v>0.12</v>
      </c>
      <c r="H41" s="78">
        <f t="shared" si="11"/>
        <v>1.7999999999999998</v>
      </c>
      <c r="I41" s="86">
        <f t="shared" si="1"/>
        <v>47141.999999999993</v>
      </c>
      <c r="J41" s="62" t="str">
        <f>_xlfn.TEXTBEFORE(_xlfn.TEXTAFTER(D41, "CER "), "F")</f>
        <v>10U</v>
      </c>
      <c r="K41" s="72" t="s">
        <v>103</v>
      </c>
      <c r="L41" s="92"/>
      <c r="M41" s="81" t="str">
        <f t="shared" si="9"/>
        <v>0805</v>
      </c>
      <c r="N41" s="62" t="str">
        <f t="shared" si="10"/>
        <v>Capacitor</v>
      </c>
      <c r="O41" s="62" t="s">
        <v>299</v>
      </c>
      <c r="P41" s="97" t="s">
        <v>879</v>
      </c>
      <c r="Q41" s="58"/>
      <c r="R41" s="58"/>
      <c r="S41" s="58"/>
      <c r="U41" t="s">
        <v>237</v>
      </c>
    </row>
    <row r="42" spans="1:21" x14ac:dyDescent="0.25">
      <c r="A42" s="58">
        <v>41</v>
      </c>
      <c r="B42" s="68" t="str">
        <f>KhoiVTM!B104</f>
        <v>399-C0603C223K5RACTUCT-ND</v>
      </c>
      <c r="C42" s="68" t="str">
        <f>KhoiVTM!C104</f>
        <v>399-C0603C223K5RACTUCT-ND</v>
      </c>
      <c r="D42" s="80" t="str">
        <f>KhoiVTM!D104</f>
        <v>CAP CER 0.022UF 50V X7R 0603</v>
      </c>
      <c r="E42" s="100" t="s">
        <v>465</v>
      </c>
      <c r="F42" s="72">
        <f>KhoiVTM!F104</f>
        <v>15</v>
      </c>
      <c r="G42" s="85">
        <v>4.7E-2</v>
      </c>
      <c r="H42" s="78">
        <f t="shared" si="11"/>
        <v>0.70499999999999996</v>
      </c>
      <c r="I42" s="86">
        <f t="shared" si="1"/>
        <v>18463.95</v>
      </c>
      <c r="J42" s="62" t="str">
        <f>_xlfn.TEXTBEFORE(_xlfn.TEXTAFTER(D42, "CER "), "F")</f>
        <v>0.022U</v>
      </c>
      <c r="K42" s="72" t="s">
        <v>103</v>
      </c>
      <c r="L42" s="62"/>
      <c r="M42" s="62" t="str">
        <f t="shared" si="9"/>
        <v>0603</v>
      </c>
      <c r="N42" s="62" t="str">
        <f t="shared" si="10"/>
        <v>Capacitor</v>
      </c>
      <c r="O42" s="62" t="s">
        <v>299</v>
      </c>
      <c r="P42" s="97" t="s">
        <v>879</v>
      </c>
      <c r="Q42" s="58"/>
      <c r="R42" s="58"/>
      <c r="S42" s="58"/>
      <c r="U42" t="s">
        <v>463</v>
      </c>
    </row>
    <row r="43" spans="1:21" x14ac:dyDescent="0.25">
      <c r="A43" s="58">
        <v>42</v>
      </c>
      <c r="B43" s="68" t="str">
        <f>KhoiVTM!B105</f>
        <v>490-6508-1-ND</v>
      </c>
      <c r="C43" s="68" t="str">
        <f>KhoiVTM!C105</f>
        <v>GRM31CR60J476KE19L</v>
      </c>
      <c r="D43" s="80" t="str">
        <f>KhoiVTM!D105</f>
        <v>CAP CER 47UF 6.3V X5R 1206</v>
      </c>
      <c r="E43" s="100" t="s">
        <v>469</v>
      </c>
      <c r="F43" s="72">
        <f>KhoiVTM!F105</f>
        <v>10</v>
      </c>
      <c r="G43" s="89">
        <v>0.29399999999999998</v>
      </c>
      <c r="H43" s="75">
        <f t="shared" si="11"/>
        <v>2.94</v>
      </c>
      <c r="I43" s="76">
        <f t="shared" si="1"/>
        <v>76998.600000000006</v>
      </c>
      <c r="J43" s="62" t="str">
        <f>_xlfn.TEXTBEFORE(_xlfn.TEXTAFTER(D43, "CER "), "F")</f>
        <v>47U</v>
      </c>
      <c r="K43" s="72" t="s">
        <v>103</v>
      </c>
      <c r="L43" s="99">
        <v>0.2</v>
      </c>
      <c r="M43" s="81" t="str">
        <f t="shared" si="9"/>
        <v>1206</v>
      </c>
      <c r="N43" s="62" t="str">
        <f t="shared" si="10"/>
        <v>Capacitor</v>
      </c>
      <c r="O43" s="62" t="s">
        <v>299</v>
      </c>
      <c r="P43" s="97" t="s">
        <v>879</v>
      </c>
      <c r="Q43" s="58"/>
      <c r="R43" s="58"/>
      <c r="S43" s="58"/>
      <c r="U43" t="s">
        <v>467</v>
      </c>
    </row>
    <row r="44" spans="1:21" x14ac:dyDescent="0.25">
      <c r="A44" s="58">
        <v>43</v>
      </c>
      <c r="B44" s="68" t="str">
        <f>KhoiVTM!B106</f>
        <v>SMBJ12A-E3/52GICT-ND</v>
      </c>
      <c r="C44" s="68" t="str">
        <f>KhoiVTM!C106</f>
        <v>SMBJ12A-E3/52</v>
      </c>
      <c r="D44" s="80" t="str">
        <f>KhoiVTM!D106</f>
        <v>TVS DIODE 12VWM 19.9VC DO214AA</v>
      </c>
      <c r="E44" s="100" t="s">
        <v>473</v>
      </c>
      <c r="F44" s="72">
        <f>KhoiVTM!F106</f>
        <v>4</v>
      </c>
      <c r="G44" s="89">
        <v>0.5</v>
      </c>
      <c r="H44" s="90">
        <f t="shared" si="11"/>
        <v>2</v>
      </c>
      <c r="I44" s="91">
        <f t="shared" si="1"/>
        <v>52380</v>
      </c>
      <c r="J44" s="72" t="s">
        <v>21</v>
      </c>
      <c r="K44" s="62" t="s">
        <v>22</v>
      </c>
      <c r="L44" s="92" t="s">
        <v>21</v>
      </c>
      <c r="M44" s="62" t="s">
        <v>474</v>
      </c>
      <c r="N44" s="72" t="s">
        <v>199</v>
      </c>
      <c r="O44" s="62" t="s">
        <v>299</v>
      </c>
      <c r="P44" s="97" t="s">
        <v>879</v>
      </c>
      <c r="Q44" s="58"/>
      <c r="R44" s="58"/>
      <c r="S44" s="58"/>
      <c r="U44" t="s">
        <v>471</v>
      </c>
    </row>
    <row r="45" spans="1:21" x14ac:dyDescent="0.25">
      <c r="A45" s="58">
        <v>44</v>
      </c>
      <c r="B45" s="68" t="str">
        <f>KhoiVTM!B107</f>
        <v>SMBJ8.5ALFCT-ND</v>
      </c>
      <c r="C45" s="68" t="str">
        <f>KhoiVTM!C107</f>
        <v>SMBJ8.5A</v>
      </c>
      <c r="D45" s="80" t="str">
        <f>KhoiVTM!D107</f>
        <v>TVS DIODE 8.5VWM 14.4V DO214AA</v>
      </c>
      <c r="E45" s="100" t="s">
        <v>478</v>
      </c>
      <c r="F45" s="72">
        <f>KhoiVTM!F107</f>
        <v>4</v>
      </c>
      <c r="G45" s="89">
        <v>0.49</v>
      </c>
      <c r="H45" s="70">
        <f t="shared" si="11"/>
        <v>1.96</v>
      </c>
      <c r="I45" s="91">
        <f t="shared" si="1"/>
        <v>51332.4</v>
      </c>
      <c r="J45" s="72" t="s">
        <v>21</v>
      </c>
      <c r="K45" s="62" t="s">
        <v>22</v>
      </c>
      <c r="L45" s="92" t="s">
        <v>21</v>
      </c>
      <c r="M45" s="62" t="s">
        <v>474</v>
      </c>
      <c r="N45" s="72" t="s">
        <v>199</v>
      </c>
      <c r="O45" s="62" t="s">
        <v>299</v>
      </c>
      <c r="P45" s="97" t="s">
        <v>879</v>
      </c>
      <c r="Q45" s="58"/>
      <c r="R45" s="58"/>
      <c r="S45" s="58"/>
      <c r="U45" t="s">
        <v>476</v>
      </c>
    </row>
    <row r="46" spans="1:21" x14ac:dyDescent="0.25">
      <c r="A46" s="58">
        <v>45</v>
      </c>
      <c r="B46" s="68" t="str">
        <f>KhoiVTM!B108</f>
        <v>SK54A-LTPMSCT-ND</v>
      </c>
      <c r="C46" s="68" t="str">
        <f>KhoiVTM!C108</f>
        <v>SK54A-LTP</v>
      </c>
      <c r="D46" s="80" t="str">
        <f>KhoiVTM!D108</f>
        <v>DIODE SCHOTTKY 40V 5A DO214AC</v>
      </c>
      <c r="E46" s="100" t="s">
        <v>482</v>
      </c>
      <c r="F46" s="72">
        <f>KhoiVTM!F108</f>
        <v>4</v>
      </c>
      <c r="G46" s="89">
        <v>0.56999999999999995</v>
      </c>
      <c r="H46" s="70">
        <f t="shared" si="11"/>
        <v>2.2799999999999998</v>
      </c>
      <c r="I46" s="91">
        <f t="shared" si="1"/>
        <v>59713.2</v>
      </c>
      <c r="J46" s="72" t="s">
        <v>21</v>
      </c>
      <c r="K46" s="62" t="s">
        <v>22</v>
      </c>
      <c r="L46" s="92" t="s">
        <v>21</v>
      </c>
      <c r="M46" s="62" t="s">
        <v>483</v>
      </c>
      <c r="N46" s="72" t="s">
        <v>199</v>
      </c>
      <c r="O46" s="62" t="s">
        <v>299</v>
      </c>
      <c r="P46" s="97" t="s">
        <v>879</v>
      </c>
      <c r="Q46" s="58"/>
      <c r="R46" s="58"/>
      <c r="S46" s="58"/>
      <c r="U46" t="s">
        <v>480</v>
      </c>
    </row>
    <row r="47" spans="1:21" x14ac:dyDescent="0.25">
      <c r="A47" s="58">
        <v>46</v>
      </c>
      <c r="B47" s="68" t="str">
        <f>KhoiVTM!B109</f>
        <v>SK34A-LTPMSCT-ND</v>
      </c>
      <c r="C47" s="68" t="str">
        <f>KhoiVTM!C109</f>
        <v>SK34A-LTP</v>
      </c>
      <c r="D47" s="80" t="str">
        <f>KhoiVTM!D109</f>
        <v>DIODE SCHOTTKY 40V 3A DO214AC</v>
      </c>
      <c r="E47" s="100" t="s">
        <v>487</v>
      </c>
      <c r="F47" s="72">
        <f>KhoiVTM!F109</f>
        <v>4</v>
      </c>
      <c r="G47" s="89">
        <v>0.43</v>
      </c>
      <c r="H47" s="70">
        <f t="shared" si="11"/>
        <v>1.72</v>
      </c>
      <c r="I47" s="91">
        <f t="shared" si="1"/>
        <v>45046.8</v>
      </c>
      <c r="J47" s="72" t="s">
        <v>21</v>
      </c>
      <c r="K47" s="62" t="s">
        <v>22</v>
      </c>
      <c r="L47" s="92" t="s">
        <v>21</v>
      </c>
      <c r="M47" s="62" t="s">
        <v>483</v>
      </c>
      <c r="N47" s="72" t="s">
        <v>199</v>
      </c>
      <c r="O47" s="62" t="s">
        <v>299</v>
      </c>
      <c r="P47" s="97" t="s">
        <v>879</v>
      </c>
      <c r="Q47" s="58"/>
      <c r="R47" s="58"/>
      <c r="S47" s="58"/>
      <c r="U47" t="s">
        <v>485</v>
      </c>
    </row>
    <row r="48" spans="1:21" x14ac:dyDescent="0.25">
      <c r="A48" s="58">
        <v>47</v>
      </c>
      <c r="B48" s="68" t="str">
        <f>KhoiVTM!B110</f>
        <v>SRR1260-4R7YCT-ND</v>
      </c>
      <c r="C48" s="68" t="str">
        <f>KhoiVTM!C110</f>
        <v>SRR1260-4R7Y</v>
      </c>
      <c r="D48" s="80" t="str">
        <f>KhoiVTM!D110</f>
        <v>FIXED IND 4.7UH 6.8A 15.5 MOHM</v>
      </c>
      <c r="E48" s="100" t="s">
        <v>491</v>
      </c>
      <c r="F48" s="72">
        <f>KhoiVTM!F110</f>
        <v>4</v>
      </c>
      <c r="G48" s="89">
        <v>1.05</v>
      </c>
      <c r="H48" s="70">
        <f t="shared" si="11"/>
        <v>4.2</v>
      </c>
      <c r="I48" s="91">
        <f t="shared" si="1"/>
        <v>109998</v>
      </c>
      <c r="J48" s="72" t="s">
        <v>21</v>
      </c>
      <c r="K48" s="62" t="s">
        <v>22</v>
      </c>
      <c r="L48" s="92" t="s">
        <v>21</v>
      </c>
      <c r="M48" s="62" t="s">
        <v>492</v>
      </c>
      <c r="N48" s="62" t="s">
        <v>163</v>
      </c>
      <c r="O48" s="62" t="s">
        <v>299</v>
      </c>
      <c r="P48" s="97" t="s">
        <v>879</v>
      </c>
      <c r="Q48" s="58"/>
      <c r="R48" s="58"/>
      <c r="S48" s="58"/>
      <c r="U48" t="s">
        <v>489</v>
      </c>
    </row>
    <row r="49" spans="1:21" x14ac:dyDescent="0.25">
      <c r="A49" s="58">
        <v>48</v>
      </c>
      <c r="B49" s="68" t="str">
        <f>KhoiVTM!B111</f>
        <v>490-18407-1-ND</v>
      </c>
      <c r="C49" s="68" t="str">
        <f>KhoiVTM!C111</f>
        <v>DFE322520FD-4R7M=P2</v>
      </c>
      <c r="D49" s="80" t="str">
        <f>KhoiVTM!D111</f>
        <v>FIXED IND 4.7UH 2A 98 MOHM SMD</v>
      </c>
      <c r="E49" s="100" t="s">
        <v>496</v>
      </c>
      <c r="F49" s="72">
        <f>KhoiVTM!F111</f>
        <v>4</v>
      </c>
      <c r="G49" s="89">
        <v>0.74</v>
      </c>
      <c r="H49" s="70">
        <f t="shared" si="11"/>
        <v>2.96</v>
      </c>
      <c r="I49" s="91">
        <f t="shared" si="1"/>
        <v>77522.399999999994</v>
      </c>
      <c r="J49" s="72" t="s">
        <v>21</v>
      </c>
      <c r="K49" s="62" t="s">
        <v>22</v>
      </c>
      <c r="L49" s="92" t="s">
        <v>21</v>
      </c>
      <c r="M49" s="81">
        <v>1210</v>
      </c>
      <c r="N49" s="62" t="s">
        <v>163</v>
      </c>
      <c r="O49" s="62" t="s">
        <v>299</v>
      </c>
      <c r="P49" s="97" t="s">
        <v>879</v>
      </c>
      <c r="Q49" s="58"/>
      <c r="R49" s="58"/>
      <c r="S49" s="58"/>
      <c r="U49" t="s">
        <v>494</v>
      </c>
    </row>
    <row r="50" spans="1:21" x14ac:dyDescent="0.25">
      <c r="A50" s="58">
        <v>49</v>
      </c>
      <c r="B50" s="68" t="str">
        <f>KhoiVTM!B112</f>
        <v>587-3462-1-ND</v>
      </c>
      <c r="C50" s="68" t="str">
        <f>KhoiVTM!C112</f>
        <v>NRS5030T6R8MMGJ</v>
      </c>
      <c r="D50" s="80" t="str">
        <f>KhoiVTM!D112</f>
        <v>FIXED IND 6.8UH 2.3A 52 MOHM SMD</v>
      </c>
      <c r="E50" s="100" t="s">
        <v>500</v>
      </c>
      <c r="F50" s="72">
        <f>KhoiVTM!F112</f>
        <v>10</v>
      </c>
      <c r="G50" s="89">
        <v>0.20399999999999999</v>
      </c>
      <c r="H50" s="70">
        <f t="shared" si="11"/>
        <v>2.04</v>
      </c>
      <c r="I50" s="91">
        <f t="shared" si="1"/>
        <v>53427.6</v>
      </c>
      <c r="J50" s="72" t="s">
        <v>21</v>
      </c>
      <c r="K50" s="62" t="s">
        <v>22</v>
      </c>
      <c r="L50" s="92" t="s">
        <v>21</v>
      </c>
      <c r="M50" s="62"/>
      <c r="N50" s="62" t="s">
        <v>163</v>
      </c>
      <c r="O50" s="62" t="s">
        <v>299</v>
      </c>
      <c r="P50" s="97" t="s">
        <v>879</v>
      </c>
      <c r="Q50" s="58"/>
      <c r="R50" s="58"/>
      <c r="S50" s="58"/>
      <c r="U50" t="s">
        <v>498</v>
      </c>
    </row>
    <row r="51" spans="1:21" x14ac:dyDescent="0.25">
      <c r="A51" s="58">
        <v>50</v>
      </c>
      <c r="B51" s="125" t="str">
        <f>KhoiVTM!B113</f>
        <v>AD8130ARMZ-REEL7CT-ND</v>
      </c>
      <c r="C51" s="68" t="str">
        <f>KhoiVTM!C113</f>
        <v>AD8130ARMZ-REEL7</v>
      </c>
      <c r="D51" s="80" t="str">
        <f>KhoiVTM!D113</f>
        <v>IC OPAMP DIFF 1 CIRCUIT 8MSOP</v>
      </c>
      <c r="E51" s="126" t="s">
        <v>44</v>
      </c>
      <c r="F51" s="72">
        <f>KhoiVTM!F113</f>
        <v>2</v>
      </c>
      <c r="G51" s="127">
        <v>5.18</v>
      </c>
      <c r="H51" s="127">
        <f t="shared" si="11"/>
        <v>10.36</v>
      </c>
      <c r="I51" s="128">
        <f t="shared" si="1"/>
        <v>271328.39999999997</v>
      </c>
      <c r="J51" s="129" t="s">
        <v>21</v>
      </c>
      <c r="K51" s="129" t="s">
        <v>22</v>
      </c>
      <c r="L51" s="130" t="s">
        <v>21</v>
      </c>
      <c r="M51" s="129" t="s">
        <v>45</v>
      </c>
      <c r="N51" s="129" t="s">
        <v>24</v>
      </c>
      <c r="O51" s="129" t="s">
        <v>881</v>
      </c>
      <c r="P51" s="131" t="s">
        <v>879</v>
      </c>
      <c r="Q51" s="58"/>
      <c r="R51" s="58"/>
      <c r="S51" s="58"/>
      <c r="U51" t="s">
        <v>502</v>
      </c>
    </row>
    <row r="52" spans="1:21" x14ac:dyDescent="0.25">
      <c r="A52" s="58">
        <v>51</v>
      </c>
      <c r="B52" s="58" t="s">
        <v>687</v>
      </c>
      <c r="C52" s="153" t="s">
        <v>688</v>
      </c>
      <c r="D52" s="153" t="s">
        <v>689</v>
      </c>
      <c r="E52" s="58"/>
      <c r="F52" s="153">
        <v>12</v>
      </c>
      <c r="G52" s="153">
        <v>0.50600000000000001</v>
      </c>
      <c r="H52" s="153">
        <v>6.07</v>
      </c>
      <c r="I52" s="71">
        <f>H52*26190</f>
        <v>158973.30000000002</v>
      </c>
      <c r="J52" s="58"/>
      <c r="K52" s="58"/>
      <c r="L52" s="58"/>
      <c r="M52" s="58"/>
      <c r="N52" s="58"/>
      <c r="O52" s="58" t="s">
        <v>299</v>
      </c>
      <c r="P52" s="58"/>
      <c r="Q52" s="58" t="s">
        <v>690</v>
      </c>
      <c r="R52" s="58"/>
      <c r="S52" s="58"/>
      <c r="U52" t="s">
        <v>688</v>
      </c>
    </row>
    <row r="53" spans="1:21" x14ac:dyDescent="0.25">
      <c r="A53" s="58">
        <v>52</v>
      </c>
      <c r="B53" s="153" t="s">
        <v>691</v>
      </c>
      <c r="C53" s="153" t="s">
        <v>692</v>
      </c>
      <c r="D53" s="153" t="s">
        <v>693</v>
      </c>
      <c r="E53" s="58"/>
      <c r="F53" s="153">
        <v>12</v>
      </c>
      <c r="G53" s="153">
        <v>1.1479999999999999</v>
      </c>
      <c r="H53" s="153">
        <v>13.78</v>
      </c>
      <c r="I53" s="71">
        <f t="shared" ref="I53:I75" si="13">H53*26190</f>
        <v>360898.2</v>
      </c>
      <c r="J53" s="58"/>
      <c r="K53" s="58"/>
      <c r="L53" s="58"/>
      <c r="M53" s="58"/>
      <c r="N53" s="58"/>
      <c r="O53" s="58" t="s">
        <v>299</v>
      </c>
      <c r="P53" s="58"/>
      <c r="Q53" s="58" t="s">
        <v>690</v>
      </c>
      <c r="R53" s="58"/>
      <c r="S53" s="58"/>
      <c r="U53" t="s">
        <v>692</v>
      </c>
    </row>
    <row r="54" spans="1:21" x14ac:dyDescent="0.25">
      <c r="A54" s="58">
        <v>53</v>
      </c>
      <c r="B54" s="153" t="s">
        <v>694</v>
      </c>
      <c r="C54" s="153" t="s">
        <v>695</v>
      </c>
      <c r="D54" s="153" t="s">
        <v>696</v>
      </c>
      <c r="E54" s="58"/>
      <c r="F54" s="153">
        <v>6</v>
      </c>
      <c r="G54" s="153">
        <v>0.61</v>
      </c>
      <c r="H54" s="153">
        <v>3.66</v>
      </c>
      <c r="I54" s="71">
        <f t="shared" si="13"/>
        <v>95855.400000000009</v>
      </c>
      <c r="J54" s="58"/>
      <c r="K54" s="58"/>
      <c r="L54" s="58"/>
      <c r="M54" s="58"/>
      <c r="N54" s="58"/>
      <c r="O54" s="58" t="s">
        <v>299</v>
      </c>
      <c r="P54" s="58"/>
      <c r="Q54" s="58" t="s">
        <v>690</v>
      </c>
      <c r="R54" s="58"/>
      <c r="S54" s="58"/>
      <c r="U54" t="s">
        <v>695</v>
      </c>
    </row>
    <row r="55" spans="1:21" x14ac:dyDescent="0.25">
      <c r="A55" s="58">
        <v>54</v>
      </c>
      <c r="B55" s="153" t="s">
        <v>697</v>
      </c>
      <c r="C55" s="153" t="s">
        <v>698</v>
      </c>
      <c r="D55" s="153" t="s">
        <v>699</v>
      </c>
      <c r="E55" s="58"/>
      <c r="F55" s="153">
        <v>6</v>
      </c>
      <c r="G55" s="153">
        <v>0.67</v>
      </c>
      <c r="H55" s="153">
        <v>4.0199999999999996</v>
      </c>
      <c r="I55" s="71">
        <f t="shared" si="13"/>
        <v>105283.79999999999</v>
      </c>
      <c r="J55" s="58"/>
      <c r="K55" s="58"/>
      <c r="L55" s="58"/>
      <c r="M55" s="58"/>
      <c r="N55" s="58"/>
      <c r="O55" s="58" t="s">
        <v>299</v>
      </c>
      <c r="P55" s="58"/>
      <c r="Q55" s="58" t="s">
        <v>690</v>
      </c>
      <c r="R55" s="58"/>
      <c r="S55" s="58"/>
      <c r="U55" t="s">
        <v>698</v>
      </c>
    </row>
    <row r="56" spans="1:21" x14ac:dyDescent="0.25">
      <c r="A56" s="58">
        <v>55</v>
      </c>
      <c r="B56" s="153" t="s">
        <v>700</v>
      </c>
      <c r="C56" s="153" t="s">
        <v>701</v>
      </c>
      <c r="D56" s="153" t="s">
        <v>702</v>
      </c>
      <c r="E56" s="58"/>
      <c r="F56" s="153">
        <v>6</v>
      </c>
      <c r="G56" s="153">
        <v>0.46</v>
      </c>
      <c r="H56" s="153">
        <v>2.76</v>
      </c>
      <c r="I56" s="71">
        <f t="shared" si="13"/>
        <v>72284.399999999994</v>
      </c>
      <c r="J56" s="58"/>
      <c r="K56" s="58"/>
      <c r="L56" s="58"/>
      <c r="M56" s="58"/>
      <c r="N56" s="58"/>
      <c r="O56" s="58" t="s">
        <v>299</v>
      </c>
      <c r="P56" s="58"/>
      <c r="Q56" s="58" t="s">
        <v>690</v>
      </c>
      <c r="R56" s="58"/>
      <c r="S56" s="58"/>
      <c r="U56" t="s">
        <v>701</v>
      </c>
    </row>
    <row r="57" spans="1:21" x14ac:dyDescent="0.25">
      <c r="A57" s="58">
        <v>56</v>
      </c>
      <c r="B57" s="153" t="s">
        <v>703</v>
      </c>
      <c r="C57" s="153" t="s">
        <v>704</v>
      </c>
      <c r="D57" s="153" t="s">
        <v>705</v>
      </c>
      <c r="E57" s="58"/>
      <c r="F57" s="153">
        <v>6</v>
      </c>
      <c r="G57" s="153">
        <v>0.46</v>
      </c>
      <c r="H57" s="153">
        <v>2.76</v>
      </c>
      <c r="I57" s="71">
        <f t="shared" si="13"/>
        <v>72284.399999999994</v>
      </c>
      <c r="J57" s="58"/>
      <c r="K57" s="58"/>
      <c r="L57" s="58"/>
      <c r="M57" s="58"/>
      <c r="N57" s="58"/>
      <c r="O57" s="58" t="s">
        <v>299</v>
      </c>
      <c r="P57" s="58"/>
      <c r="Q57" s="58" t="s">
        <v>690</v>
      </c>
      <c r="R57" s="58"/>
      <c r="S57" s="58"/>
      <c r="U57" t="s">
        <v>704</v>
      </c>
    </row>
    <row r="58" spans="1:21" x14ac:dyDescent="0.25">
      <c r="A58" s="58">
        <v>57</v>
      </c>
      <c r="B58" s="153" t="s">
        <v>706</v>
      </c>
      <c r="C58" s="153" t="s">
        <v>707</v>
      </c>
      <c r="D58" s="153" t="s">
        <v>708</v>
      </c>
      <c r="E58" s="58"/>
      <c r="F58" s="153">
        <v>15</v>
      </c>
      <c r="G58" s="153">
        <v>1.2624</v>
      </c>
      <c r="H58" s="153">
        <v>37.869999999999997</v>
      </c>
      <c r="I58" s="71">
        <f t="shared" si="13"/>
        <v>991815.29999999993</v>
      </c>
      <c r="J58" s="58"/>
      <c r="K58" s="58"/>
      <c r="L58" s="58"/>
      <c r="M58" s="58"/>
      <c r="N58" s="58"/>
      <c r="O58" s="58" t="s">
        <v>299</v>
      </c>
      <c r="P58" s="58"/>
      <c r="Q58" s="58" t="s">
        <v>690</v>
      </c>
      <c r="R58" s="58"/>
      <c r="S58" s="58"/>
      <c r="U58" t="s">
        <v>707</v>
      </c>
    </row>
    <row r="59" spans="1:21" x14ac:dyDescent="0.25">
      <c r="A59" s="58">
        <v>58</v>
      </c>
      <c r="B59" s="153" t="s">
        <v>709</v>
      </c>
      <c r="C59" s="153" t="s">
        <v>710</v>
      </c>
      <c r="D59" s="153" t="s">
        <v>711</v>
      </c>
      <c r="E59" s="58"/>
      <c r="F59" s="153">
        <v>15</v>
      </c>
      <c r="G59" s="153">
        <v>4.7679999999999998</v>
      </c>
      <c r="H59" s="153">
        <v>71.52</v>
      </c>
      <c r="I59" s="71">
        <f t="shared" si="13"/>
        <v>1873108.7999999998</v>
      </c>
      <c r="J59" s="58"/>
      <c r="K59" s="58"/>
      <c r="L59" s="58"/>
      <c r="M59" s="58"/>
      <c r="N59" s="58"/>
      <c r="O59" s="58" t="s">
        <v>299</v>
      </c>
      <c r="P59" s="58"/>
      <c r="Q59" s="58" t="s">
        <v>690</v>
      </c>
      <c r="R59" s="58"/>
      <c r="S59" s="58"/>
      <c r="U59" t="s">
        <v>710</v>
      </c>
    </row>
    <row r="60" spans="1:21" x14ac:dyDescent="0.25">
      <c r="A60" s="58">
        <v>59</v>
      </c>
      <c r="B60" s="153" t="s">
        <v>712</v>
      </c>
      <c r="C60" s="153" t="s">
        <v>713</v>
      </c>
      <c r="D60" s="153" t="s">
        <v>714</v>
      </c>
      <c r="E60" s="58"/>
      <c r="F60" s="153">
        <v>10</v>
      </c>
      <c r="G60" s="153">
        <v>5.3999999999999999E-2</v>
      </c>
      <c r="H60" s="153">
        <v>0.54</v>
      </c>
      <c r="I60" s="71">
        <f t="shared" si="13"/>
        <v>14142.6</v>
      </c>
      <c r="J60" s="58"/>
      <c r="K60" s="58"/>
      <c r="L60" s="58"/>
      <c r="M60" s="58"/>
      <c r="N60" s="58"/>
      <c r="O60" s="58" t="s">
        <v>299</v>
      </c>
      <c r="P60" s="58"/>
      <c r="Q60" s="58" t="s">
        <v>690</v>
      </c>
      <c r="R60" s="58"/>
      <c r="S60" s="58"/>
      <c r="U60" t="s">
        <v>713</v>
      </c>
    </row>
    <row r="61" spans="1:21" x14ac:dyDescent="0.25">
      <c r="A61" s="58">
        <v>60</v>
      </c>
      <c r="B61" s="153" t="s">
        <v>715</v>
      </c>
      <c r="C61" s="153" t="s">
        <v>716</v>
      </c>
      <c r="D61" s="153" t="s">
        <v>717</v>
      </c>
      <c r="E61" s="153"/>
      <c r="F61" s="153">
        <v>20</v>
      </c>
      <c r="G61" s="153">
        <v>0.27600000000000002</v>
      </c>
      <c r="H61" s="153">
        <v>5.52</v>
      </c>
      <c r="I61" s="71">
        <f t="shared" si="13"/>
        <v>144568.79999999999</v>
      </c>
      <c r="J61" s="58"/>
      <c r="K61" s="58"/>
      <c r="L61" s="58"/>
      <c r="M61" s="58"/>
      <c r="N61" s="58"/>
      <c r="O61" s="58" t="s">
        <v>299</v>
      </c>
      <c r="P61" s="58"/>
      <c r="Q61" s="58" t="s">
        <v>690</v>
      </c>
      <c r="R61" s="58"/>
      <c r="S61" s="58"/>
      <c r="U61" t="s">
        <v>716</v>
      </c>
    </row>
    <row r="62" spans="1:21" x14ac:dyDescent="0.25">
      <c r="A62" s="58">
        <v>61</v>
      </c>
      <c r="B62" s="153" t="s">
        <v>718</v>
      </c>
      <c r="C62" s="153" t="s">
        <v>719</v>
      </c>
      <c r="D62" s="153" t="s">
        <v>720</v>
      </c>
      <c r="E62" s="58"/>
      <c r="F62" s="153">
        <v>50</v>
      </c>
      <c r="G62" s="153">
        <v>1.6E-2</v>
      </c>
      <c r="H62" s="153">
        <v>0.8</v>
      </c>
      <c r="I62" s="71">
        <f t="shared" si="13"/>
        <v>20952</v>
      </c>
      <c r="J62" s="58"/>
      <c r="K62" s="58"/>
      <c r="L62" s="58"/>
      <c r="M62" s="58"/>
      <c r="N62" s="58"/>
      <c r="O62" s="58" t="s">
        <v>299</v>
      </c>
      <c r="P62" s="58"/>
      <c r="Q62" s="58" t="s">
        <v>690</v>
      </c>
      <c r="R62" s="58"/>
      <c r="S62" s="58"/>
      <c r="U62" t="s">
        <v>719</v>
      </c>
    </row>
    <row r="63" spans="1:21" x14ac:dyDescent="0.25">
      <c r="A63" s="58">
        <v>62</v>
      </c>
      <c r="B63" s="153" t="s">
        <v>721</v>
      </c>
      <c r="C63" s="153" t="s">
        <v>722</v>
      </c>
      <c r="D63" s="153" t="s">
        <v>723</v>
      </c>
      <c r="E63" s="58"/>
      <c r="F63" s="153">
        <v>50</v>
      </c>
      <c r="G63" s="153">
        <v>1.38E-2</v>
      </c>
      <c r="H63" s="153">
        <v>0.69</v>
      </c>
      <c r="I63" s="71">
        <f t="shared" si="13"/>
        <v>18071.099999999999</v>
      </c>
      <c r="J63" s="58"/>
      <c r="K63" s="58"/>
      <c r="L63" s="58"/>
      <c r="M63" s="58"/>
      <c r="N63" s="58"/>
      <c r="O63" s="58" t="s">
        <v>299</v>
      </c>
      <c r="P63" s="58"/>
      <c r="Q63" s="58" t="s">
        <v>690</v>
      </c>
      <c r="R63" s="58"/>
      <c r="S63" s="58"/>
      <c r="U63" t="s">
        <v>722</v>
      </c>
    </row>
    <row r="64" spans="1:21" x14ac:dyDescent="0.25">
      <c r="A64" s="58">
        <v>63</v>
      </c>
      <c r="B64" s="153" t="s">
        <v>724</v>
      </c>
      <c r="C64" s="153" t="s">
        <v>725</v>
      </c>
      <c r="D64" s="153" t="s">
        <v>726</v>
      </c>
      <c r="E64" s="58"/>
      <c r="F64" s="153">
        <v>50</v>
      </c>
      <c r="G64" s="153">
        <v>1.2E-2</v>
      </c>
      <c r="H64" s="153">
        <v>0.6</v>
      </c>
      <c r="I64" s="71">
        <f t="shared" si="13"/>
        <v>15714</v>
      </c>
      <c r="J64" s="58"/>
      <c r="K64" s="58"/>
      <c r="L64" s="58"/>
      <c r="M64" s="58"/>
      <c r="N64" s="58"/>
      <c r="O64" s="58" t="s">
        <v>299</v>
      </c>
      <c r="P64" s="58"/>
      <c r="Q64" s="58" t="s">
        <v>690</v>
      </c>
      <c r="R64" s="58"/>
      <c r="S64" s="58"/>
      <c r="U64" t="s">
        <v>725</v>
      </c>
    </row>
    <row r="65" spans="1:21" x14ac:dyDescent="0.25">
      <c r="A65" s="58">
        <v>64</v>
      </c>
      <c r="B65" s="153" t="s">
        <v>727</v>
      </c>
      <c r="C65" s="153" t="s">
        <v>728</v>
      </c>
      <c r="D65" s="153" t="s">
        <v>729</v>
      </c>
      <c r="E65" s="58"/>
      <c r="F65" s="153">
        <v>50</v>
      </c>
      <c r="G65" s="153">
        <v>1.2E-2</v>
      </c>
      <c r="H65" s="153">
        <v>0.6</v>
      </c>
      <c r="I65" s="71">
        <f t="shared" si="13"/>
        <v>15714</v>
      </c>
      <c r="J65" s="58"/>
      <c r="K65" s="58"/>
      <c r="L65" s="58"/>
      <c r="M65" s="58"/>
      <c r="N65" s="58"/>
      <c r="O65" s="58" t="s">
        <v>299</v>
      </c>
      <c r="P65" s="58"/>
      <c r="Q65" s="58" t="s">
        <v>690</v>
      </c>
      <c r="R65" s="58"/>
      <c r="S65" s="58"/>
      <c r="U65" t="s">
        <v>728</v>
      </c>
    </row>
    <row r="66" spans="1:21" x14ac:dyDescent="0.25">
      <c r="A66" s="58">
        <v>65</v>
      </c>
      <c r="B66" s="153" t="s">
        <v>730</v>
      </c>
      <c r="C66" s="153" t="s">
        <v>731</v>
      </c>
      <c r="D66" s="153" t="s">
        <v>732</v>
      </c>
      <c r="E66" s="58"/>
      <c r="F66" s="153">
        <v>50</v>
      </c>
      <c r="G66" s="153">
        <v>1.2E-2</v>
      </c>
      <c r="H66" s="153">
        <v>0.6</v>
      </c>
      <c r="I66" s="71">
        <f t="shared" si="13"/>
        <v>15714</v>
      </c>
      <c r="J66" s="58"/>
      <c r="K66" s="58"/>
      <c r="L66" s="58"/>
      <c r="M66" s="58"/>
      <c r="N66" s="58"/>
      <c r="O66" s="58" t="s">
        <v>299</v>
      </c>
      <c r="P66" s="58"/>
      <c r="Q66" s="58" t="s">
        <v>690</v>
      </c>
      <c r="R66" s="58"/>
      <c r="S66" s="58"/>
      <c r="U66" t="s">
        <v>731</v>
      </c>
    </row>
    <row r="67" spans="1:21" x14ac:dyDescent="0.25">
      <c r="A67" s="58">
        <v>66</v>
      </c>
      <c r="B67" s="153" t="s">
        <v>733</v>
      </c>
      <c r="C67" s="153" t="s">
        <v>92</v>
      </c>
      <c r="D67" s="153" t="s">
        <v>93</v>
      </c>
      <c r="E67" s="58"/>
      <c r="F67" s="153">
        <v>50</v>
      </c>
      <c r="G67" s="153">
        <v>1.38E-2</v>
      </c>
      <c r="H67" s="153">
        <v>0.69</v>
      </c>
      <c r="I67" s="71">
        <f t="shared" si="13"/>
        <v>18071.099999999999</v>
      </c>
      <c r="J67" s="58"/>
      <c r="K67" s="58"/>
      <c r="L67" s="58"/>
      <c r="M67" s="58"/>
      <c r="N67" s="58"/>
      <c r="O67" s="58" t="s">
        <v>299</v>
      </c>
      <c r="P67" s="58"/>
      <c r="Q67" s="58" t="s">
        <v>690</v>
      </c>
      <c r="R67" s="58"/>
      <c r="S67" s="58"/>
      <c r="U67" t="s">
        <v>92</v>
      </c>
    </row>
    <row r="68" spans="1:21" x14ac:dyDescent="0.25">
      <c r="A68" s="58">
        <v>67</v>
      </c>
      <c r="B68" s="153" t="s">
        <v>721</v>
      </c>
      <c r="C68" s="153" t="s">
        <v>722</v>
      </c>
      <c r="D68" s="153" t="s">
        <v>723</v>
      </c>
      <c r="E68" s="58"/>
      <c r="F68" s="153">
        <v>50</v>
      </c>
      <c r="G68" s="153">
        <v>1.38E-2</v>
      </c>
      <c r="H68" s="153">
        <v>0.69</v>
      </c>
      <c r="I68" s="71">
        <f t="shared" si="13"/>
        <v>18071.099999999999</v>
      </c>
      <c r="J68" s="58"/>
      <c r="K68" s="58"/>
      <c r="L68" s="58"/>
      <c r="M68" s="58"/>
      <c r="N68" s="58"/>
      <c r="O68" s="58" t="s">
        <v>299</v>
      </c>
      <c r="P68" s="58"/>
      <c r="Q68" s="58" t="s">
        <v>690</v>
      </c>
      <c r="R68" s="58"/>
      <c r="S68" s="58"/>
      <c r="U68" t="s">
        <v>722</v>
      </c>
    </row>
    <row r="69" spans="1:21" x14ac:dyDescent="0.25">
      <c r="A69" s="58">
        <v>68</v>
      </c>
      <c r="B69" s="153" t="s">
        <v>734</v>
      </c>
      <c r="C69" s="153" t="s">
        <v>735</v>
      </c>
      <c r="D69" s="153" t="s">
        <v>736</v>
      </c>
      <c r="E69" s="58"/>
      <c r="F69" s="153">
        <v>50</v>
      </c>
      <c r="G69" s="153">
        <v>7.7799999999999994E-2</v>
      </c>
      <c r="H69" s="153">
        <v>3.89</v>
      </c>
      <c r="I69" s="71">
        <f t="shared" si="13"/>
        <v>101879.1</v>
      </c>
      <c r="J69" s="58"/>
      <c r="K69" s="58"/>
      <c r="L69" s="58"/>
      <c r="M69" s="58"/>
      <c r="N69" s="58"/>
      <c r="O69" s="58" t="s">
        <v>299</v>
      </c>
      <c r="P69" s="58"/>
      <c r="Q69" s="58" t="s">
        <v>690</v>
      </c>
      <c r="R69" s="58"/>
      <c r="S69" s="58"/>
      <c r="U69" t="s">
        <v>735</v>
      </c>
    </row>
    <row r="70" spans="1:21" x14ac:dyDescent="0.25">
      <c r="A70" s="58">
        <v>69</v>
      </c>
      <c r="B70" s="153" t="s">
        <v>737</v>
      </c>
      <c r="C70" s="153" t="s">
        <v>738</v>
      </c>
      <c r="D70" s="153" t="s">
        <v>106</v>
      </c>
      <c r="E70" s="58"/>
      <c r="F70" s="153">
        <v>50</v>
      </c>
      <c r="G70" s="153">
        <v>2.3400000000000001E-2</v>
      </c>
      <c r="H70" s="153">
        <v>1.17</v>
      </c>
      <c r="I70" s="71">
        <f t="shared" si="13"/>
        <v>30642.3</v>
      </c>
      <c r="J70" s="58"/>
      <c r="K70" s="58"/>
      <c r="L70" s="58"/>
      <c r="M70" s="58"/>
      <c r="N70" s="58"/>
      <c r="O70" s="58" t="s">
        <v>299</v>
      </c>
      <c r="P70" s="58"/>
      <c r="Q70" s="58" t="s">
        <v>690</v>
      </c>
      <c r="R70" s="58"/>
      <c r="S70" s="58"/>
      <c r="U70" t="s">
        <v>738</v>
      </c>
    </row>
    <row r="71" spans="1:21" x14ac:dyDescent="0.25">
      <c r="A71" s="58">
        <v>70</v>
      </c>
      <c r="B71" s="153" t="s">
        <v>236</v>
      </c>
      <c r="C71" s="153" t="s">
        <v>237</v>
      </c>
      <c r="D71" s="153" t="s">
        <v>238</v>
      </c>
      <c r="E71" s="58"/>
      <c r="F71" s="153">
        <v>50</v>
      </c>
      <c r="G71" s="153">
        <v>4.7E-2</v>
      </c>
      <c r="H71" s="153">
        <v>2.35</v>
      </c>
      <c r="I71" s="71">
        <f t="shared" si="13"/>
        <v>61546.5</v>
      </c>
      <c r="J71" s="58"/>
      <c r="K71" s="58"/>
      <c r="L71" s="58"/>
      <c r="M71" s="58"/>
      <c r="N71" s="58"/>
      <c r="O71" s="58" t="s">
        <v>299</v>
      </c>
      <c r="P71" s="58"/>
      <c r="Q71" s="58" t="s">
        <v>690</v>
      </c>
      <c r="R71" s="58"/>
      <c r="S71" s="58"/>
      <c r="U71" t="s">
        <v>237</v>
      </c>
    </row>
    <row r="72" spans="1:21" x14ac:dyDescent="0.25">
      <c r="A72" s="58">
        <v>71</v>
      </c>
      <c r="B72" s="153" t="s">
        <v>739</v>
      </c>
      <c r="C72" s="153" t="s">
        <v>740</v>
      </c>
      <c r="D72" s="153" t="s">
        <v>741</v>
      </c>
      <c r="E72" s="58"/>
      <c r="F72" s="153">
        <v>50</v>
      </c>
      <c r="G72" s="153">
        <v>8.6599999999999996E-2</v>
      </c>
      <c r="H72" s="153">
        <v>4.33</v>
      </c>
      <c r="I72" s="71">
        <f t="shared" si="13"/>
        <v>113402.7</v>
      </c>
      <c r="J72" s="58"/>
      <c r="K72" s="58"/>
      <c r="L72" s="58"/>
      <c r="M72" s="58"/>
      <c r="N72" s="58"/>
      <c r="O72" s="58" t="s">
        <v>299</v>
      </c>
      <c r="P72" s="58"/>
      <c r="Q72" s="58" t="s">
        <v>690</v>
      </c>
      <c r="R72" s="58"/>
      <c r="S72" s="58"/>
      <c r="U72" t="s">
        <v>740</v>
      </c>
    </row>
    <row r="73" spans="1:21" x14ac:dyDescent="0.25">
      <c r="A73" s="58">
        <v>72</v>
      </c>
      <c r="B73" s="153" t="s">
        <v>742</v>
      </c>
      <c r="C73" s="153" t="s">
        <v>743</v>
      </c>
      <c r="D73" s="153" t="s">
        <v>744</v>
      </c>
      <c r="E73" s="58"/>
      <c r="F73" s="153">
        <v>30</v>
      </c>
      <c r="G73" s="153">
        <v>0.48199999999999998</v>
      </c>
      <c r="H73" s="153">
        <v>14.46</v>
      </c>
      <c r="I73" s="71">
        <f t="shared" si="13"/>
        <v>378707.4</v>
      </c>
      <c r="J73" s="58"/>
      <c r="K73" s="58"/>
      <c r="L73" s="58"/>
      <c r="M73" s="58"/>
      <c r="N73" s="58"/>
      <c r="O73" s="58" t="s">
        <v>299</v>
      </c>
      <c r="P73" s="58"/>
      <c r="Q73" s="58" t="s">
        <v>690</v>
      </c>
      <c r="R73" s="58"/>
      <c r="S73" s="58"/>
      <c r="U73" t="s">
        <v>743</v>
      </c>
    </row>
    <row r="74" spans="1:21" x14ac:dyDescent="0.25">
      <c r="A74" s="58">
        <v>73</v>
      </c>
      <c r="B74" s="153" t="s">
        <v>715</v>
      </c>
      <c r="C74" s="153" t="s">
        <v>716</v>
      </c>
      <c r="D74" s="153" t="s">
        <v>717</v>
      </c>
      <c r="E74" s="153"/>
      <c r="F74" s="153">
        <v>20</v>
      </c>
      <c r="G74" s="153">
        <v>0.27600000000000002</v>
      </c>
      <c r="H74" s="153">
        <v>5.52</v>
      </c>
      <c r="I74" s="71">
        <f t="shared" si="13"/>
        <v>144568.79999999999</v>
      </c>
      <c r="J74" s="58"/>
      <c r="K74" s="58"/>
      <c r="L74" s="58"/>
      <c r="M74" s="58"/>
      <c r="N74" s="58"/>
      <c r="O74" s="58" t="s">
        <v>299</v>
      </c>
      <c r="P74" s="58"/>
      <c r="Q74" s="58" t="s">
        <v>690</v>
      </c>
      <c r="R74" s="58"/>
      <c r="S74" s="58"/>
      <c r="U74" t="s">
        <v>716</v>
      </c>
    </row>
    <row r="75" spans="1:21" x14ac:dyDescent="0.25">
      <c r="A75" s="58">
        <v>74</v>
      </c>
      <c r="B75" s="154" t="s">
        <v>745</v>
      </c>
      <c r="C75" s="154" t="s">
        <v>746</v>
      </c>
      <c r="D75" s="154" t="s">
        <v>747</v>
      </c>
      <c r="E75" s="154"/>
      <c r="F75" s="154">
        <v>5</v>
      </c>
      <c r="G75" s="154">
        <v>5.88</v>
      </c>
      <c r="H75" s="154">
        <v>17.64</v>
      </c>
      <c r="I75" s="71">
        <f t="shared" si="13"/>
        <v>461991.60000000003</v>
      </c>
      <c r="J75" s="154"/>
      <c r="K75" s="58"/>
      <c r="L75" s="58"/>
      <c r="M75" s="58"/>
      <c r="N75" s="58"/>
      <c r="O75" s="58" t="s">
        <v>299</v>
      </c>
      <c r="P75" s="58"/>
      <c r="Q75" s="58" t="s">
        <v>690</v>
      </c>
      <c r="R75" s="58"/>
      <c r="S75" s="58"/>
      <c r="U75" t="s">
        <v>746</v>
      </c>
    </row>
    <row r="76" spans="1:21" s="117" customFormat="1" x14ac:dyDescent="0.25">
      <c r="A76" s="58">
        <v>75</v>
      </c>
      <c r="B76" s="155" t="s">
        <v>780</v>
      </c>
      <c r="C76" s="155" t="s">
        <v>780</v>
      </c>
      <c r="D76" s="155" t="s">
        <v>781</v>
      </c>
      <c r="E76" s="156" t="s">
        <v>782</v>
      </c>
      <c r="F76" s="188">
        <v>10</v>
      </c>
      <c r="G76" s="157">
        <v>0.14299999999999999</v>
      </c>
      <c r="H76" s="158">
        <f t="shared" ref="H76:H107" si="14">G76*F76</f>
        <v>1.43</v>
      </c>
      <c r="I76" s="159">
        <f t="shared" ref="I76:I107" si="15">H76*26190</f>
        <v>37451.699999999997</v>
      </c>
      <c r="J76" s="157" t="s">
        <v>783</v>
      </c>
      <c r="K76" s="157" t="s">
        <v>784</v>
      </c>
      <c r="L76" s="157" t="s">
        <v>785</v>
      </c>
      <c r="M76" s="160" t="s">
        <v>568</v>
      </c>
      <c r="N76" s="157" t="s">
        <v>786</v>
      </c>
      <c r="O76" s="157"/>
      <c r="P76" s="157" t="s">
        <v>882</v>
      </c>
      <c r="Q76" s="116"/>
      <c r="R76" s="116"/>
      <c r="S76" s="116"/>
      <c r="U76" t="s">
        <v>780</v>
      </c>
    </row>
    <row r="77" spans="1:21" x14ac:dyDescent="0.25">
      <c r="A77" s="58">
        <v>76</v>
      </c>
      <c r="B77" s="161" t="s">
        <v>787</v>
      </c>
      <c r="C77" s="161" t="s">
        <v>788</v>
      </c>
      <c r="D77" s="161" t="s">
        <v>110</v>
      </c>
      <c r="E77" s="162" t="s">
        <v>789</v>
      </c>
      <c r="F77" s="189">
        <v>10</v>
      </c>
      <c r="G77" s="163">
        <v>0.1</v>
      </c>
      <c r="H77" s="164">
        <f t="shared" si="14"/>
        <v>1</v>
      </c>
      <c r="I77" s="165">
        <f t="shared" si="15"/>
        <v>26190</v>
      </c>
      <c r="J77" s="163" t="s">
        <v>373</v>
      </c>
      <c r="K77" s="163" t="s">
        <v>784</v>
      </c>
      <c r="L77" s="163" t="s">
        <v>785</v>
      </c>
      <c r="M77" s="166" t="s">
        <v>162</v>
      </c>
      <c r="N77" s="163" t="s">
        <v>786</v>
      </c>
      <c r="O77" s="163"/>
      <c r="P77" s="163" t="s">
        <v>882</v>
      </c>
      <c r="Q77" s="58"/>
      <c r="R77" s="58"/>
      <c r="S77" s="58"/>
      <c r="U77" t="s">
        <v>788</v>
      </c>
    </row>
    <row r="78" spans="1:21" x14ac:dyDescent="0.25">
      <c r="A78" s="58">
        <v>77</v>
      </c>
      <c r="B78" s="161" t="s">
        <v>790</v>
      </c>
      <c r="C78" s="161" t="s">
        <v>791</v>
      </c>
      <c r="D78" s="161" t="s">
        <v>792</v>
      </c>
      <c r="E78" s="167" t="s">
        <v>793</v>
      </c>
      <c r="F78" s="189">
        <v>10</v>
      </c>
      <c r="G78" s="163">
        <v>0.59</v>
      </c>
      <c r="H78" s="164">
        <f t="shared" si="14"/>
        <v>5.8999999999999995</v>
      </c>
      <c r="I78" s="165">
        <f t="shared" si="15"/>
        <v>154521</v>
      </c>
      <c r="J78" s="163" t="s">
        <v>783</v>
      </c>
      <c r="K78" s="163" t="s">
        <v>784</v>
      </c>
      <c r="L78" s="163" t="s">
        <v>785</v>
      </c>
      <c r="M78" s="168">
        <v>1210</v>
      </c>
      <c r="N78" s="163" t="s">
        <v>786</v>
      </c>
      <c r="O78" s="163"/>
      <c r="P78" s="163" t="s">
        <v>882</v>
      </c>
      <c r="Q78" s="58"/>
      <c r="R78" s="58"/>
      <c r="S78" s="58"/>
      <c r="U78" t="s">
        <v>791</v>
      </c>
    </row>
    <row r="79" spans="1:21" x14ac:dyDescent="0.25">
      <c r="A79" s="58">
        <v>78</v>
      </c>
      <c r="B79" s="161" t="s">
        <v>794</v>
      </c>
      <c r="C79" s="161" t="s">
        <v>795</v>
      </c>
      <c r="D79" s="161" t="s">
        <v>796</v>
      </c>
      <c r="E79" s="167" t="s">
        <v>797</v>
      </c>
      <c r="F79" s="189">
        <v>10</v>
      </c>
      <c r="G79" s="163">
        <v>1.37</v>
      </c>
      <c r="H79" s="164">
        <f t="shared" si="14"/>
        <v>13.700000000000001</v>
      </c>
      <c r="I79" s="165">
        <f t="shared" si="15"/>
        <v>358803</v>
      </c>
      <c r="J79" s="163" t="s">
        <v>798</v>
      </c>
      <c r="K79" s="163" t="s">
        <v>784</v>
      </c>
      <c r="L79" s="163" t="s">
        <v>799</v>
      </c>
      <c r="M79" s="168">
        <v>1206</v>
      </c>
      <c r="N79" s="163" t="s">
        <v>786</v>
      </c>
      <c r="O79" s="163"/>
      <c r="P79" s="163" t="s">
        <v>882</v>
      </c>
      <c r="Q79" s="58"/>
      <c r="R79" s="58"/>
      <c r="S79" s="58"/>
      <c r="U79" t="s">
        <v>795</v>
      </c>
    </row>
    <row r="80" spans="1:21" x14ac:dyDescent="0.25">
      <c r="A80" s="58">
        <v>79</v>
      </c>
      <c r="B80" s="169" t="s">
        <v>787</v>
      </c>
      <c r="C80" s="169" t="s">
        <v>788</v>
      </c>
      <c r="D80" s="169" t="s">
        <v>110</v>
      </c>
      <c r="E80" s="162" t="s">
        <v>789</v>
      </c>
      <c r="F80" s="190">
        <v>10</v>
      </c>
      <c r="G80" s="163">
        <v>0.04</v>
      </c>
      <c r="H80" s="164">
        <f t="shared" si="14"/>
        <v>0.4</v>
      </c>
      <c r="I80" s="165">
        <f t="shared" si="15"/>
        <v>10476</v>
      </c>
      <c r="J80" s="163" t="s">
        <v>373</v>
      </c>
      <c r="K80" s="163" t="s">
        <v>784</v>
      </c>
      <c r="L80" s="163"/>
      <c r="M80" s="166" t="s">
        <v>162</v>
      </c>
      <c r="N80" s="163" t="s">
        <v>786</v>
      </c>
      <c r="O80" s="163"/>
      <c r="P80" s="163" t="s">
        <v>882</v>
      </c>
      <c r="Q80" s="58"/>
      <c r="R80" s="58"/>
      <c r="S80" s="58"/>
      <c r="U80" t="s">
        <v>788</v>
      </c>
    </row>
    <row r="81" spans="1:21" x14ac:dyDescent="0.25">
      <c r="A81" s="58">
        <v>80</v>
      </c>
      <c r="B81" s="169" t="s">
        <v>811</v>
      </c>
      <c r="C81" s="169" t="s">
        <v>812</v>
      </c>
      <c r="D81" s="169" t="s">
        <v>813</v>
      </c>
      <c r="E81" s="162" t="s">
        <v>814</v>
      </c>
      <c r="F81" s="190">
        <v>10</v>
      </c>
      <c r="G81" s="163">
        <v>0.2</v>
      </c>
      <c r="H81" s="164">
        <f t="shared" si="14"/>
        <v>2</v>
      </c>
      <c r="I81" s="165">
        <f t="shared" si="15"/>
        <v>52380</v>
      </c>
      <c r="J81" s="163" t="s">
        <v>567</v>
      </c>
      <c r="K81" s="163" t="s">
        <v>784</v>
      </c>
      <c r="L81" s="163"/>
      <c r="M81" s="166" t="s">
        <v>568</v>
      </c>
      <c r="N81" s="163" t="s">
        <v>786</v>
      </c>
      <c r="O81" s="163"/>
      <c r="P81" s="163" t="s">
        <v>882</v>
      </c>
      <c r="Q81" s="58"/>
      <c r="R81" s="58"/>
      <c r="S81" s="58"/>
      <c r="U81" t="s">
        <v>812</v>
      </c>
    </row>
    <row r="82" spans="1:21" s="117" customFormat="1" x14ac:dyDescent="0.25">
      <c r="A82" s="58">
        <v>81</v>
      </c>
      <c r="B82" s="155" t="s">
        <v>818</v>
      </c>
      <c r="C82" s="155" t="s">
        <v>818</v>
      </c>
      <c r="D82" s="155" t="s">
        <v>819</v>
      </c>
      <c r="E82" s="170" t="s">
        <v>820</v>
      </c>
      <c r="F82" s="188">
        <v>10</v>
      </c>
      <c r="G82" s="157">
        <v>0.2</v>
      </c>
      <c r="H82" s="158">
        <f t="shared" si="14"/>
        <v>2</v>
      </c>
      <c r="I82" s="159">
        <f t="shared" si="15"/>
        <v>52380</v>
      </c>
      <c r="J82" s="157" t="s">
        <v>757</v>
      </c>
      <c r="K82" s="157" t="s">
        <v>784</v>
      </c>
      <c r="L82" s="157"/>
      <c r="M82" s="160" t="s">
        <v>568</v>
      </c>
      <c r="N82" s="157" t="s">
        <v>786</v>
      </c>
      <c r="O82" s="157"/>
      <c r="P82" s="157" t="s">
        <v>882</v>
      </c>
      <c r="Q82" s="116"/>
      <c r="R82" s="116"/>
      <c r="S82" s="116"/>
      <c r="U82" t="s">
        <v>818</v>
      </c>
    </row>
    <row r="83" spans="1:21" x14ac:dyDescent="0.25">
      <c r="A83" s="58">
        <v>82</v>
      </c>
      <c r="B83" s="171" t="s">
        <v>830</v>
      </c>
      <c r="C83" s="171" t="s">
        <v>830</v>
      </c>
      <c r="D83" s="171" t="s">
        <v>831</v>
      </c>
      <c r="E83" s="162" t="s">
        <v>832</v>
      </c>
      <c r="F83" s="191">
        <v>10</v>
      </c>
      <c r="G83" s="163">
        <v>7.0000000000000007E-2</v>
      </c>
      <c r="H83" s="164">
        <f t="shared" si="14"/>
        <v>0.70000000000000007</v>
      </c>
      <c r="I83" s="165">
        <f t="shared" si="15"/>
        <v>18333</v>
      </c>
      <c r="J83" s="163" t="s">
        <v>833</v>
      </c>
      <c r="K83" s="163" t="s">
        <v>784</v>
      </c>
      <c r="L83" s="163"/>
      <c r="M83" s="166" t="s">
        <v>568</v>
      </c>
      <c r="N83" s="163" t="s">
        <v>786</v>
      </c>
      <c r="O83" s="163"/>
      <c r="P83" s="163" t="s">
        <v>882</v>
      </c>
      <c r="Q83" s="58"/>
      <c r="R83" s="58"/>
      <c r="S83" s="58"/>
      <c r="U83" t="s">
        <v>830</v>
      </c>
    </row>
    <row r="84" spans="1:21" x14ac:dyDescent="0.25">
      <c r="A84" s="58">
        <v>83</v>
      </c>
      <c r="B84" s="171" t="s">
        <v>834</v>
      </c>
      <c r="C84" s="171" t="s">
        <v>834</v>
      </c>
      <c r="D84" s="171" t="s">
        <v>835</v>
      </c>
      <c r="E84" s="162" t="s">
        <v>836</v>
      </c>
      <c r="F84" s="191">
        <v>10</v>
      </c>
      <c r="G84" s="163">
        <v>7.0000000000000007E-2</v>
      </c>
      <c r="H84" s="164">
        <f t="shared" si="14"/>
        <v>0.70000000000000007</v>
      </c>
      <c r="I84" s="165">
        <f t="shared" si="15"/>
        <v>18333</v>
      </c>
      <c r="J84" s="163" t="s">
        <v>583</v>
      </c>
      <c r="K84" s="163" t="s">
        <v>784</v>
      </c>
      <c r="L84" s="163"/>
      <c r="M84" s="166" t="s">
        <v>568</v>
      </c>
      <c r="N84" s="163" t="s">
        <v>786</v>
      </c>
      <c r="O84" s="163"/>
      <c r="P84" s="163" t="s">
        <v>882</v>
      </c>
      <c r="Q84" s="58"/>
      <c r="R84" s="58"/>
      <c r="S84" s="58"/>
      <c r="U84" t="s">
        <v>834</v>
      </c>
    </row>
    <row r="85" spans="1:21" x14ac:dyDescent="0.25">
      <c r="A85" s="58">
        <v>84</v>
      </c>
      <c r="B85" s="169" t="s">
        <v>843</v>
      </c>
      <c r="C85" s="169" t="s">
        <v>801</v>
      </c>
      <c r="D85" s="169" t="s">
        <v>844</v>
      </c>
      <c r="E85" s="162" t="s">
        <v>845</v>
      </c>
      <c r="F85" s="190">
        <v>10</v>
      </c>
      <c r="G85" s="163">
        <v>0.1</v>
      </c>
      <c r="H85" s="164">
        <f t="shared" si="14"/>
        <v>1</v>
      </c>
      <c r="I85" s="165">
        <f t="shared" si="15"/>
        <v>26190</v>
      </c>
      <c r="J85" s="163" t="s">
        <v>562</v>
      </c>
      <c r="K85" s="163" t="s">
        <v>784</v>
      </c>
      <c r="L85" s="163"/>
      <c r="M85" s="166" t="s">
        <v>162</v>
      </c>
      <c r="N85" s="163" t="s">
        <v>786</v>
      </c>
      <c r="O85" s="163"/>
      <c r="P85" s="163" t="s">
        <v>882</v>
      </c>
      <c r="Q85" s="58"/>
      <c r="R85" s="58"/>
      <c r="S85" s="58"/>
      <c r="U85" t="s">
        <v>801</v>
      </c>
    </row>
    <row r="86" spans="1:21" x14ac:dyDescent="0.25">
      <c r="A86" s="58">
        <v>85</v>
      </c>
      <c r="B86" s="172" t="s">
        <v>754</v>
      </c>
      <c r="C86" s="172" t="s">
        <v>754</v>
      </c>
      <c r="D86" s="172" t="s">
        <v>755</v>
      </c>
      <c r="E86" s="162" t="s">
        <v>756</v>
      </c>
      <c r="F86" s="192">
        <v>10</v>
      </c>
      <c r="G86" s="173">
        <v>0.43</v>
      </c>
      <c r="H86" s="174">
        <f t="shared" si="14"/>
        <v>4.3</v>
      </c>
      <c r="I86" s="175">
        <f t="shared" si="15"/>
        <v>112617</v>
      </c>
      <c r="J86" s="173" t="s">
        <v>757</v>
      </c>
      <c r="K86" s="173" t="s">
        <v>758</v>
      </c>
      <c r="L86" s="173" t="s">
        <v>759</v>
      </c>
      <c r="M86" s="176"/>
      <c r="N86" s="177" t="s">
        <v>760</v>
      </c>
      <c r="O86" s="173" t="s">
        <v>761</v>
      </c>
      <c r="P86" s="163" t="s">
        <v>882</v>
      </c>
      <c r="Q86" s="58"/>
      <c r="R86" s="58"/>
      <c r="S86" s="58"/>
      <c r="U86" t="s">
        <v>754</v>
      </c>
    </row>
    <row r="87" spans="1:21" x14ac:dyDescent="0.25">
      <c r="A87" s="58">
        <v>86</v>
      </c>
      <c r="B87" s="163" t="s">
        <v>749</v>
      </c>
      <c r="C87" s="163" t="s">
        <v>750</v>
      </c>
      <c r="D87" s="163" t="s">
        <v>751</v>
      </c>
      <c r="E87" s="167" t="s">
        <v>752</v>
      </c>
      <c r="F87" s="189">
        <v>3</v>
      </c>
      <c r="G87" s="163">
        <v>10.39</v>
      </c>
      <c r="H87" s="164">
        <f t="shared" si="14"/>
        <v>31.17</v>
      </c>
      <c r="I87" s="165">
        <f t="shared" si="15"/>
        <v>816342.3</v>
      </c>
      <c r="J87" s="168" t="s">
        <v>21</v>
      </c>
      <c r="K87" s="168" t="s">
        <v>22</v>
      </c>
      <c r="L87" s="168" t="s">
        <v>21</v>
      </c>
      <c r="M87" s="168" t="s">
        <v>753</v>
      </c>
      <c r="N87" s="163" t="s">
        <v>24</v>
      </c>
      <c r="O87" s="163" t="s">
        <v>299</v>
      </c>
      <c r="P87" s="163" t="s">
        <v>882</v>
      </c>
      <c r="Q87" s="58"/>
      <c r="R87" s="58"/>
      <c r="S87" s="58"/>
      <c r="U87" t="s">
        <v>750</v>
      </c>
    </row>
    <row r="88" spans="1:21" x14ac:dyDescent="0.25">
      <c r="A88" s="58">
        <v>87</v>
      </c>
      <c r="B88" s="178" t="s">
        <v>762</v>
      </c>
      <c r="C88" s="178" t="s">
        <v>763</v>
      </c>
      <c r="D88" s="178" t="s">
        <v>764</v>
      </c>
      <c r="E88" s="162" t="s">
        <v>765</v>
      </c>
      <c r="F88" s="193">
        <v>10</v>
      </c>
      <c r="G88" s="179">
        <v>0.46</v>
      </c>
      <c r="H88" s="180">
        <f t="shared" si="14"/>
        <v>4.6000000000000005</v>
      </c>
      <c r="I88" s="181">
        <f t="shared" si="15"/>
        <v>120474.00000000001</v>
      </c>
      <c r="J88" s="182" t="s">
        <v>21</v>
      </c>
      <c r="K88" s="182" t="s">
        <v>22</v>
      </c>
      <c r="L88" s="182" t="s">
        <v>21</v>
      </c>
      <c r="M88" s="182" t="s">
        <v>766</v>
      </c>
      <c r="N88" s="183" t="s">
        <v>199</v>
      </c>
      <c r="O88" s="183"/>
      <c r="P88" s="163" t="s">
        <v>882</v>
      </c>
      <c r="Q88" s="58"/>
      <c r="R88" s="58"/>
      <c r="S88" s="58"/>
      <c r="U88" t="s">
        <v>763</v>
      </c>
    </row>
    <row r="89" spans="1:21" x14ac:dyDescent="0.25">
      <c r="A89" s="58">
        <v>88</v>
      </c>
      <c r="B89" s="161" t="s">
        <v>768</v>
      </c>
      <c r="C89" s="161" t="s">
        <v>769</v>
      </c>
      <c r="D89" s="161" t="s">
        <v>770</v>
      </c>
      <c r="E89" s="167" t="s">
        <v>771</v>
      </c>
      <c r="F89" s="189">
        <v>10</v>
      </c>
      <c r="G89" s="163">
        <v>0.22</v>
      </c>
      <c r="H89" s="164">
        <f t="shared" si="14"/>
        <v>2.2000000000000002</v>
      </c>
      <c r="I89" s="165">
        <f t="shared" si="15"/>
        <v>57618.000000000007</v>
      </c>
      <c r="J89" s="163" t="s">
        <v>772</v>
      </c>
      <c r="K89" s="163" t="s">
        <v>773</v>
      </c>
      <c r="L89" s="184">
        <v>0.01</v>
      </c>
      <c r="M89" s="166" t="s">
        <v>568</v>
      </c>
      <c r="N89" s="163" t="s">
        <v>51</v>
      </c>
      <c r="O89" s="163" t="s">
        <v>299</v>
      </c>
      <c r="P89" s="163" t="s">
        <v>882</v>
      </c>
      <c r="Q89" s="58"/>
      <c r="R89" s="58"/>
      <c r="S89" s="58"/>
      <c r="U89" t="s">
        <v>769</v>
      </c>
    </row>
    <row r="90" spans="1:21" x14ac:dyDescent="0.25">
      <c r="A90" s="58">
        <v>89</v>
      </c>
      <c r="B90" s="169" t="s">
        <v>804</v>
      </c>
      <c r="C90" s="169" t="s">
        <v>804</v>
      </c>
      <c r="D90" s="169" t="s">
        <v>805</v>
      </c>
      <c r="E90" s="162" t="s">
        <v>806</v>
      </c>
      <c r="F90" s="190">
        <v>10</v>
      </c>
      <c r="G90" s="163">
        <v>7.0000000000000007E-2</v>
      </c>
      <c r="H90" s="164">
        <f t="shared" si="14"/>
        <v>0.70000000000000007</v>
      </c>
      <c r="I90" s="165">
        <f t="shared" si="15"/>
        <v>18333</v>
      </c>
      <c r="J90" s="163" t="s">
        <v>807</v>
      </c>
      <c r="K90" s="163" t="s">
        <v>773</v>
      </c>
      <c r="L90" s="163" t="s">
        <v>779</v>
      </c>
      <c r="M90" s="166" t="s">
        <v>162</v>
      </c>
      <c r="N90" s="163" t="s">
        <v>51</v>
      </c>
      <c r="O90" s="163"/>
      <c r="P90" s="163" t="s">
        <v>882</v>
      </c>
      <c r="Q90" s="58"/>
      <c r="R90" s="58"/>
      <c r="S90" s="58"/>
      <c r="U90" t="s">
        <v>804</v>
      </c>
    </row>
    <row r="91" spans="1:21" x14ac:dyDescent="0.25">
      <c r="A91" s="58">
        <v>90</v>
      </c>
      <c r="B91" s="169" t="s">
        <v>808</v>
      </c>
      <c r="C91" s="169" t="s">
        <v>808</v>
      </c>
      <c r="D91" s="169" t="s">
        <v>809</v>
      </c>
      <c r="E91" s="162" t="s">
        <v>810</v>
      </c>
      <c r="F91" s="190">
        <v>10</v>
      </c>
      <c r="G91" s="163">
        <v>7.0000000000000007E-2</v>
      </c>
      <c r="H91" s="164">
        <f t="shared" si="14"/>
        <v>0.70000000000000007</v>
      </c>
      <c r="I91" s="165">
        <f t="shared" si="15"/>
        <v>18333</v>
      </c>
      <c r="J91" s="163" t="s">
        <v>517</v>
      </c>
      <c r="K91" s="163" t="s">
        <v>773</v>
      </c>
      <c r="L91" s="163" t="s">
        <v>779</v>
      </c>
      <c r="M91" s="166" t="s">
        <v>162</v>
      </c>
      <c r="N91" s="163" t="s">
        <v>51</v>
      </c>
      <c r="O91" s="163"/>
      <c r="P91" s="163" t="s">
        <v>882</v>
      </c>
      <c r="Q91" s="58"/>
      <c r="R91" s="58"/>
      <c r="S91" s="58"/>
      <c r="U91" t="s">
        <v>808</v>
      </c>
    </row>
    <row r="92" spans="1:21" x14ac:dyDescent="0.25">
      <c r="A92" s="58">
        <v>91</v>
      </c>
      <c r="B92" s="171" t="s">
        <v>827</v>
      </c>
      <c r="C92" s="171" t="s">
        <v>827</v>
      </c>
      <c r="D92" s="171" t="s">
        <v>828</v>
      </c>
      <c r="E92" s="162" t="s">
        <v>829</v>
      </c>
      <c r="F92" s="191">
        <v>10</v>
      </c>
      <c r="G92" s="163">
        <v>0.1</v>
      </c>
      <c r="H92" s="164">
        <f t="shared" si="14"/>
        <v>1</v>
      </c>
      <c r="I92" s="165">
        <f t="shared" si="15"/>
        <v>26190</v>
      </c>
      <c r="J92" s="163">
        <v>499</v>
      </c>
      <c r="K92" s="163" t="s">
        <v>773</v>
      </c>
      <c r="L92" s="163" t="s">
        <v>779</v>
      </c>
      <c r="M92" s="166" t="s">
        <v>568</v>
      </c>
      <c r="N92" s="163" t="s">
        <v>51</v>
      </c>
      <c r="O92" s="163"/>
      <c r="P92" s="163" t="s">
        <v>882</v>
      </c>
      <c r="Q92" s="58"/>
      <c r="R92" s="58"/>
      <c r="S92" s="58"/>
      <c r="U92" t="s">
        <v>827</v>
      </c>
    </row>
    <row r="93" spans="1:21" x14ac:dyDescent="0.25">
      <c r="A93" s="58">
        <v>92</v>
      </c>
      <c r="B93" s="169" t="s">
        <v>846</v>
      </c>
      <c r="C93" s="169" t="s">
        <v>846</v>
      </c>
      <c r="D93" s="169" t="s">
        <v>847</v>
      </c>
      <c r="E93" s="162" t="s">
        <v>848</v>
      </c>
      <c r="F93" s="190">
        <v>10</v>
      </c>
      <c r="G93" s="163">
        <v>0.1</v>
      </c>
      <c r="H93" s="164">
        <f t="shared" si="14"/>
        <v>1</v>
      </c>
      <c r="I93" s="165">
        <f t="shared" si="15"/>
        <v>26190</v>
      </c>
      <c r="J93" s="163" t="s">
        <v>849</v>
      </c>
      <c r="K93" s="163" t="s">
        <v>773</v>
      </c>
      <c r="L93" s="163" t="s">
        <v>850</v>
      </c>
      <c r="M93" s="166" t="s">
        <v>162</v>
      </c>
      <c r="N93" s="163" t="s">
        <v>51</v>
      </c>
      <c r="O93" s="163"/>
      <c r="P93" s="163" t="s">
        <v>882</v>
      </c>
      <c r="Q93" s="58"/>
      <c r="R93" s="58"/>
      <c r="S93" s="58"/>
      <c r="U93" t="s">
        <v>846</v>
      </c>
    </row>
    <row r="94" spans="1:21" x14ac:dyDescent="0.25">
      <c r="A94" s="58">
        <v>93</v>
      </c>
      <c r="B94" s="169" t="s">
        <v>851</v>
      </c>
      <c r="C94" s="169" t="s">
        <v>851</v>
      </c>
      <c r="D94" s="169" t="s">
        <v>852</v>
      </c>
      <c r="E94" s="162" t="s">
        <v>853</v>
      </c>
      <c r="F94" s="190">
        <v>10</v>
      </c>
      <c r="G94" s="163">
        <v>0.1</v>
      </c>
      <c r="H94" s="164">
        <f t="shared" si="14"/>
        <v>1</v>
      </c>
      <c r="I94" s="165">
        <f t="shared" si="15"/>
        <v>26190</v>
      </c>
      <c r="J94" s="163" t="s">
        <v>854</v>
      </c>
      <c r="K94" s="163" t="s">
        <v>773</v>
      </c>
      <c r="L94" s="163" t="s">
        <v>850</v>
      </c>
      <c r="M94" s="166" t="s">
        <v>162</v>
      </c>
      <c r="N94" s="163" t="s">
        <v>51</v>
      </c>
      <c r="O94" s="163"/>
      <c r="P94" s="163" t="s">
        <v>882</v>
      </c>
      <c r="Q94" s="58"/>
      <c r="R94" s="58"/>
      <c r="S94" s="58"/>
      <c r="U94" t="s">
        <v>851</v>
      </c>
    </row>
    <row r="95" spans="1:21" x14ac:dyDescent="0.25">
      <c r="A95" s="58">
        <v>94</v>
      </c>
      <c r="B95" s="185" t="s">
        <v>858</v>
      </c>
      <c r="C95" s="185" t="s">
        <v>858</v>
      </c>
      <c r="D95" s="185" t="s">
        <v>859</v>
      </c>
      <c r="E95" s="162" t="s">
        <v>860</v>
      </c>
      <c r="F95" s="194">
        <v>10</v>
      </c>
      <c r="G95" s="163">
        <v>0.1</v>
      </c>
      <c r="H95" s="164">
        <f t="shared" si="14"/>
        <v>1</v>
      </c>
      <c r="I95" s="165">
        <f t="shared" si="15"/>
        <v>26190</v>
      </c>
      <c r="J95" s="163" t="s">
        <v>861</v>
      </c>
      <c r="K95" s="163" t="s">
        <v>773</v>
      </c>
      <c r="L95" s="163" t="s">
        <v>779</v>
      </c>
      <c r="M95" s="166" t="s">
        <v>162</v>
      </c>
      <c r="N95" s="163" t="s">
        <v>51</v>
      </c>
      <c r="O95" s="163"/>
      <c r="P95" s="163" t="s">
        <v>882</v>
      </c>
      <c r="Q95" s="58"/>
      <c r="R95" s="58"/>
      <c r="S95" s="58"/>
      <c r="U95" t="s">
        <v>858</v>
      </c>
    </row>
    <row r="96" spans="1:21" x14ac:dyDescent="0.25">
      <c r="A96" s="58">
        <v>95</v>
      </c>
      <c r="B96" s="161" t="s">
        <v>868</v>
      </c>
      <c r="C96" s="161" t="s">
        <v>868</v>
      </c>
      <c r="D96" s="161" t="s">
        <v>869</v>
      </c>
      <c r="E96" s="162" t="s">
        <v>870</v>
      </c>
      <c r="F96" s="189">
        <v>10</v>
      </c>
      <c r="G96" s="163">
        <v>0.2</v>
      </c>
      <c r="H96" s="164">
        <f t="shared" si="14"/>
        <v>2</v>
      </c>
      <c r="I96" s="165">
        <f t="shared" si="15"/>
        <v>52380</v>
      </c>
      <c r="J96" s="163" t="s">
        <v>871</v>
      </c>
      <c r="K96" s="163" t="s">
        <v>773</v>
      </c>
      <c r="L96" s="184">
        <v>0.01</v>
      </c>
      <c r="M96" s="168">
        <v>1206</v>
      </c>
      <c r="N96" s="163" t="s">
        <v>51</v>
      </c>
      <c r="O96" s="163"/>
      <c r="P96" s="163" t="s">
        <v>882</v>
      </c>
      <c r="Q96" s="58"/>
      <c r="R96" s="58"/>
      <c r="S96" s="58"/>
      <c r="U96" t="s">
        <v>868</v>
      </c>
    </row>
    <row r="97" spans="1:21" x14ac:dyDescent="0.25">
      <c r="A97" s="58">
        <v>96</v>
      </c>
      <c r="B97" s="186" t="s">
        <v>876</v>
      </c>
      <c r="C97" s="186" t="s">
        <v>876</v>
      </c>
      <c r="D97" s="186" t="s">
        <v>877</v>
      </c>
      <c r="E97" s="162" t="s">
        <v>878</v>
      </c>
      <c r="F97" s="195">
        <v>10</v>
      </c>
      <c r="G97" s="163">
        <v>0.1</v>
      </c>
      <c r="H97" s="164">
        <f t="shared" si="14"/>
        <v>1</v>
      </c>
      <c r="I97" s="165">
        <f t="shared" si="15"/>
        <v>26190</v>
      </c>
      <c r="J97" s="163">
        <v>100</v>
      </c>
      <c r="K97" s="163" t="s">
        <v>773</v>
      </c>
      <c r="L97" s="163" t="s">
        <v>779</v>
      </c>
      <c r="M97" s="166" t="s">
        <v>162</v>
      </c>
      <c r="N97" s="163" t="s">
        <v>51</v>
      </c>
      <c r="O97" s="163"/>
      <c r="P97" s="163" t="s">
        <v>882</v>
      </c>
      <c r="Q97" s="58"/>
      <c r="R97" s="58"/>
      <c r="S97" s="58"/>
      <c r="U97" t="s">
        <v>876</v>
      </c>
    </row>
    <row r="98" spans="1:21" x14ac:dyDescent="0.25">
      <c r="A98" s="58">
        <v>97</v>
      </c>
      <c r="B98" s="161" t="s">
        <v>774</v>
      </c>
      <c r="C98" s="161" t="s">
        <v>775</v>
      </c>
      <c r="D98" s="161" t="s">
        <v>776</v>
      </c>
      <c r="E98" s="167" t="s">
        <v>777</v>
      </c>
      <c r="F98" s="189">
        <v>10</v>
      </c>
      <c r="G98" s="163">
        <v>0.1</v>
      </c>
      <c r="H98" s="164">
        <f t="shared" si="14"/>
        <v>1</v>
      </c>
      <c r="I98" s="165">
        <f t="shared" si="15"/>
        <v>26190</v>
      </c>
      <c r="J98" s="163" t="s">
        <v>778</v>
      </c>
      <c r="K98" s="163" t="s">
        <v>773</v>
      </c>
      <c r="L98" s="163" t="s">
        <v>779</v>
      </c>
      <c r="M98" s="166" t="s">
        <v>162</v>
      </c>
      <c r="N98" s="163" t="s">
        <v>51</v>
      </c>
      <c r="O98" s="163"/>
      <c r="P98" s="163" t="s">
        <v>882</v>
      </c>
      <c r="Q98" s="58"/>
      <c r="R98" s="58"/>
      <c r="S98" s="58"/>
      <c r="U98" t="s">
        <v>775</v>
      </c>
    </row>
    <row r="99" spans="1:21" x14ac:dyDescent="0.25">
      <c r="A99" s="58">
        <v>98</v>
      </c>
      <c r="B99" s="169" t="s">
        <v>800</v>
      </c>
      <c r="C99" s="169" t="s">
        <v>801</v>
      </c>
      <c r="D99" s="169" t="s">
        <v>802</v>
      </c>
      <c r="E99" s="167" t="s">
        <v>803</v>
      </c>
      <c r="F99" s="190">
        <v>10</v>
      </c>
      <c r="G99" s="163">
        <v>2.86</v>
      </c>
      <c r="H99" s="164">
        <f t="shared" si="14"/>
        <v>28.599999999999998</v>
      </c>
      <c r="I99" s="165">
        <f t="shared" si="15"/>
        <v>749034</v>
      </c>
      <c r="J99" s="163"/>
      <c r="K99" s="163"/>
      <c r="L99" s="163"/>
      <c r="M99" s="168"/>
      <c r="N99" s="163"/>
      <c r="O99" s="163"/>
      <c r="P99" s="163" t="s">
        <v>882</v>
      </c>
      <c r="Q99" s="58"/>
      <c r="R99" s="58"/>
      <c r="S99" s="58"/>
      <c r="U99" t="s">
        <v>801</v>
      </c>
    </row>
    <row r="100" spans="1:21" s="117" customFormat="1" x14ac:dyDescent="0.25">
      <c r="A100" s="58">
        <v>99</v>
      </c>
      <c r="B100" s="155" t="s">
        <v>815</v>
      </c>
      <c r="C100" s="155" t="s">
        <v>815</v>
      </c>
      <c r="D100" s="155" t="s">
        <v>816</v>
      </c>
      <c r="E100" s="156" t="s">
        <v>817</v>
      </c>
      <c r="F100" s="188">
        <v>10</v>
      </c>
      <c r="G100" s="157">
        <v>0.3</v>
      </c>
      <c r="H100" s="158">
        <f t="shared" si="14"/>
        <v>3</v>
      </c>
      <c r="I100" s="159">
        <f t="shared" si="15"/>
        <v>78570</v>
      </c>
      <c r="J100" s="157"/>
      <c r="K100" s="157"/>
      <c r="L100" s="157"/>
      <c r="M100" s="187"/>
      <c r="N100" s="157"/>
      <c r="O100" s="157"/>
      <c r="P100" s="157" t="s">
        <v>882</v>
      </c>
      <c r="Q100" s="116"/>
      <c r="R100" s="116"/>
      <c r="S100" s="116"/>
      <c r="U100" t="s">
        <v>815</v>
      </c>
    </row>
    <row r="101" spans="1:21" x14ac:dyDescent="0.25">
      <c r="A101" s="58">
        <v>100</v>
      </c>
      <c r="B101" s="171" t="s">
        <v>821</v>
      </c>
      <c r="C101" s="171" t="s">
        <v>821</v>
      </c>
      <c r="D101" s="171" t="s">
        <v>822</v>
      </c>
      <c r="E101" s="162" t="s">
        <v>823</v>
      </c>
      <c r="F101" s="191">
        <v>3</v>
      </c>
      <c r="G101" s="163">
        <v>15.25</v>
      </c>
      <c r="H101" s="164">
        <f t="shared" si="14"/>
        <v>45.75</v>
      </c>
      <c r="I101" s="165">
        <f t="shared" si="15"/>
        <v>1198192.5</v>
      </c>
      <c r="J101" s="163"/>
      <c r="K101" s="163"/>
      <c r="L101" s="163"/>
      <c r="M101" s="168"/>
      <c r="N101" s="163"/>
      <c r="O101" s="163"/>
      <c r="P101" s="163" t="s">
        <v>882</v>
      </c>
      <c r="Q101" s="58"/>
      <c r="R101" s="58"/>
      <c r="S101" s="58"/>
      <c r="U101" t="s">
        <v>821</v>
      </c>
    </row>
    <row r="102" spans="1:21" x14ac:dyDescent="0.25">
      <c r="A102" s="58">
        <v>101</v>
      </c>
      <c r="B102" s="171" t="s">
        <v>824</v>
      </c>
      <c r="C102" s="171" t="s">
        <v>824</v>
      </c>
      <c r="D102" s="171" t="s">
        <v>825</v>
      </c>
      <c r="E102" s="162" t="s">
        <v>826</v>
      </c>
      <c r="F102" s="191">
        <v>3</v>
      </c>
      <c r="G102" s="163">
        <v>10.7</v>
      </c>
      <c r="H102" s="164">
        <f t="shared" si="14"/>
        <v>32.099999999999994</v>
      </c>
      <c r="I102" s="165">
        <f t="shared" si="15"/>
        <v>840698.99999999988</v>
      </c>
      <c r="J102" s="163"/>
      <c r="K102" s="163"/>
      <c r="L102" s="163"/>
      <c r="M102" s="168"/>
      <c r="N102" s="163"/>
      <c r="O102" s="163"/>
      <c r="P102" s="163" t="s">
        <v>882</v>
      </c>
      <c r="Q102" s="58"/>
      <c r="R102" s="58"/>
      <c r="S102" s="58"/>
      <c r="U102" t="s">
        <v>824</v>
      </c>
    </row>
    <row r="103" spans="1:21" x14ac:dyDescent="0.25">
      <c r="A103" s="58">
        <v>102</v>
      </c>
      <c r="B103" s="169" t="s">
        <v>837</v>
      </c>
      <c r="C103" s="169" t="s">
        <v>837</v>
      </c>
      <c r="D103" s="169" t="s">
        <v>838</v>
      </c>
      <c r="E103" s="162" t="s">
        <v>839</v>
      </c>
      <c r="F103" s="190">
        <v>5</v>
      </c>
      <c r="G103" s="163">
        <v>8.14</v>
      </c>
      <c r="H103" s="164">
        <f t="shared" si="14"/>
        <v>40.700000000000003</v>
      </c>
      <c r="I103" s="165">
        <f t="shared" si="15"/>
        <v>1065933</v>
      </c>
      <c r="J103" s="163"/>
      <c r="K103" s="163"/>
      <c r="L103" s="163"/>
      <c r="M103" s="168"/>
      <c r="N103" s="163"/>
      <c r="O103" s="163"/>
      <c r="P103" s="163" t="s">
        <v>882</v>
      </c>
      <c r="Q103" s="58"/>
      <c r="R103" s="58"/>
      <c r="S103" s="58"/>
      <c r="U103" t="s">
        <v>837</v>
      </c>
    </row>
    <row r="104" spans="1:21" s="117" customFormat="1" x14ac:dyDescent="0.25">
      <c r="A104" s="58">
        <v>103</v>
      </c>
      <c r="B104" s="155" t="s">
        <v>840</v>
      </c>
      <c r="C104" s="155" t="s">
        <v>840</v>
      </c>
      <c r="D104" s="155" t="s">
        <v>841</v>
      </c>
      <c r="E104" s="170" t="s">
        <v>842</v>
      </c>
      <c r="F104" s="188">
        <v>10</v>
      </c>
      <c r="G104" s="157">
        <v>1</v>
      </c>
      <c r="H104" s="158">
        <f t="shared" si="14"/>
        <v>10</v>
      </c>
      <c r="I104" s="159">
        <f t="shared" si="15"/>
        <v>261900</v>
      </c>
      <c r="J104" s="157"/>
      <c r="K104" s="157"/>
      <c r="L104" s="157"/>
      <c r="M104" s="187"/>
      <c r="N104" s="157"/>
      <c r="O104" s="157"/>
      <c r="P104" s="157" t="s">
        <v>882</v>
      </c>
      <c r="Q104" s="116"/>
      <c r="R104" s="116"/>
      <c r="S104" s="116"/>
      <c r="U104" t="s">
        <v>840</v>
      </c>
    </row>
    <row r="105" spans="1:21" s="117" customFormat="1" x14ac:dyDescent="0.25">
      <c r="A105" s="58">
        <v>104</v>
      </c>
      <c r="B105" s="155" t="s">
        <v>862</v>
      </c>
      <c r="C105" s="155" t="s">
        <v>862</v>
      </c>
      <c r="D105" s="155" t="s">
        <v>863</v>
      </c>
      <c r="E105" s="170" t="s">
        <v>864</v>
      </c>
      <c r="F105" s="188">
        <v>5</v>
      </c>
      <c r="G105" s="157">
        <v>0.2</v>
      </c>
      <c r="H105" s="158">
        <f t="shared" si="14"/>
        <v>1</v>
      </c>
      <c r="I105" s="159">
        <f t="shared" si="15"/>
        <v>26190</v>
      </c>
      <c r="J105" s="157"/>
      <c r="K105" s="157"/>
      <c r="L105" s="157"/>
      <c r="M105" s="187"/>
      <c r="N105" s="157"/>
      <c r="O105" s="157"/>
      <c r="P105" s="157" t="s">
        <v>882</v>
      </c>
      <c r="Q105" s="116"/>
      <c r="R105" s="116"/>
      <c r="S105" s="116"/>
      <c r="U105" t="s">
        <v>862</v>
      </c>
    </row>
    <row r="106" spans="1:21" x14ac:dyDescent="0.25">
      <c r="A106" s="58">
        <v>105</v>
      </c>
      <c r="B106" s="185" t="s">
        <v>865</v>
      </c>
      <c r="C106" s="185" t="s">
        <v>865</v>
      </c>
      <c r="D106" s="185" t="s">
        <v>866</v>
      </c>
      <c r="E106" s="162" t="s">
        <v>867</v>
      </c>
      <c r="F106" s="194">
        <v>10</v>
      </c>
      <c r="G106" s="163">
        <v>0.46</v>
      </c>
      <c r="H106" s="164">
        <f t="shared" si="14"/>
        <v>4.6000000000000005</v>
      </c>
      <c r="I106" s="165">
        <f t="shared" si="15"/>
        <v>120474.00000000001</v>
      </c>
      <c r="J106" s="163"/>
      <c r="K106" s="163"/>
      <c r="L106" s="163"/>
      <c r="M106" s="168"/>
      <c r="N106" s="163"/>
      <c r="O106" s="163"/>
      <c r="P106" s="163" t="s">
        <v>882</v>
      </c>
      <c r="Q106" s="58"/>
      <c r="R106" s="58"/>
      <c r="S106" s="58"/>
      <c r="U106" t="s">
        <v>865</v>
      </c>
    </row>
    <row r="107" spans="1:21" x14ac:dyDescent="0.25">
      <c r="A107" s="58">
        <v>106</v>
      </c>
      <c r="B107" s="185" t="s">
        <v>872</v>
      </c>
      <c r="C107" s="185" t="s">
        <v>872</v>
      </c>
      <c r="D107" s="185" t="s">
        <v>873</v>
      </c>
      <c r="E107" s="162" t="s">
        <v>874</v>
      </c>
      <c r="F107" s="194">
        <v>10</v>
      </c>
      <c r="G107" s="163">
        <v>0.46</v>
      </c>
      <c r="H107" s="164">
        <f t="shared" si="14"/>
        <v>4.6000000000000005</v>
      </c>
      <c r="I107" s="165">
        <f t="shared" si="15"/>
        <v>120474.00000000001</v>
      </c>
      <c r="J107" s="163" t="s">
        <v>875</v>
      </c>
      <c r="K107" s="163" t="s">
        <v>773</v>
      </c>
      <c r="L107" s="163" t="s">
        <v>779</v>
      </c>
      <c r="M107" s="166" t="s">
        <v>162</v>
      </c>
      <c r="N107" s="163" t="s">
        <v>51</v>
      </c>
      <c r="O107" s="163"/>
      <c r="P107" s="163" t="s">
        <v>882</v>
      </c>
      <c r="Q107" s="58"/>
      <c r="R107" s="58"/>
      <c r="S107" s="58"/>
      <c r="U107" t="s">
        <v>872</v>
      </c>
    </row>
  </sheetData>
  <autoFilter ref="A1:P107" xr:uid="{093062C4-682E-401E-9873-999368B39D91}"/>
  <hyperlinks>
    <hyperlink ref="E87" r:id="rId1" xr:uid="{A28B06F1-D5BD-48D8-BF2B-0D633F35907C}"/>
    <hyperlink ref="E89" r:id="rId2" xr:uid="{D1A08B08-882B-40B1-8161-940A44AC27C8}"/>
    <hyperlink ref="E98" r:id="rId3" xr:uid="{B5B4418B-F20A-48D7-ABF8-C96D66B4749A}"/>
    <hyperlink ref="E88" r:id="rId4" xr:uid="{99E1C81B-98A5-455B-A469-82AC33E0CC1C}"/>
    <hyperlink ref="E86" r:id="rId5" xr:uid="{985B642B-8CD1-49C9-8D21-4FF691DD89E4}"/>
    <hyperlink ref="E76" r:id="rId6" xr:uid="{79F3DC53-6975-46FF-9040-9D6D332481A1}"/>
    <hyperlink ref="E77" r:id="rId7" xr:uid="{A2CD78A9-6DF3-4DD7-90BF-CCD5657AD581}"/>
    <hyperlink ref="E78" r:id="rId8" xr:uid="{D621F2C1-EE35-4939-A055-7F8649993D7A}"/>
    <hyperlink ref="E79" r:id="rId9" xr:uid="{0E2C9581-A71A-4704-AA16-61E67D0FABB1}"/>
    <hyperlink ref="E99" r:id="rId10" xr:uid="{8F642F98-B890-4B9E-A767-15A5374C4D24}"/>
    <hyperlink ref="E90" r:id="rId11" xr:uid="{A311E21E-B4BB-4F31-88EC-07A509C3D107}"/>
    <hyperlink ref="E91" r:id="rId12" xr:uid="{EFBE2B50-AA9F-430B-8B3B-AEA269B562D7}"/>
    <hyperlink ref="E80" r:id="rId13" xr:uid="{A912019E-0E5A-4FC8-B36E-4B83A379214B}"/>
    <hyperlink ref="E81" r:id="rId14" xr:uid="{CEA7C973-CDA4-42A8-ADE5-15AEDC3E5D7B}"/>
    <hyperlink ref="E82" r:id="rId15" xr:uid="{E23939F2-D7DF-4940-9A71-D7E6D9E701B0}"/>
    <hyperlink ref="E101" r:id="rId16" xr:uid="{01CE8895-32EE-402D-951A-C65D53937121}"/>
    <hyperlink ref="E102" r:id="rId17" xr:uid="{A3972568-6A50-428A-B69C-66C1ABAD0843}"/>
    <hyperlink ref="E92" r:id="rId18" xr:uid="{41EE9575-8804-4BE6-8347-EBC4ABC08EF7}"/>
    <hyperlink ref="E83" r:id="rId19" xr:uid="{558957FE-79F3-489E-A16F-BE4DC4D9EF79}"/>
    <hyperlink ref="E84" r:id="rId20" xr:uid="{468F0B71-9266-417B-BE40-090DE8F1B1AD}"/>
    <hyperlink ref="E103" r:id="rId21" xr:uid="{FEB99ECD-740E-4E17-A36B-BFE1926EC721}"/>
    <hyperlink ref="E99:E100" r:id="rId22" display="https://www.digikey.tw/en/products/detail/kemet/C0603C104K3RACTU/416044" xr:uid="{AA90DB1D-D4B4-43E0-A73F-9BA3761EBD14}"/>
    <hyperlink ref="E93" r:id="rId23" xr:uid="{20CB6686-B411-4094-B1DB-B4F753694AD7}"/>
    <hyperlink ref="E94" r:id="rId24" xr:uid="{9EC5D9D8-1D0F-4F13-A645-CB14915910C2}"/>
    <hyperlink ref="E95" r:id="rId25" xr:uid="{B7F61CE1-70D7-4DC8-B52A-7061CA998F72}"/>
    <hyperlink ref="E96" r:id="rId26" xr:uid="{3DA94F3D-F5CF-42D7-987D-7F88B65FD293}"/>
    <hyperlink ref="E97" r:id="rId27" xr:uid="{33A9625F-755B-471C-B158-A9CFB9C193D8}"/>
    <hyperlink ref="E105" r:id="rId28" xr:uid="{51EFEAD2-1700-4892-80CA-4BD2984A8B14}"/>
    <hyperlink ref="E106" r:id="rId29" xr:uid="{87C0C170-D9B8-4028-BA91-EEF67684FE43}"/>
    <hyperlink ref="E100" r:id="rId30" xr:uid="{C4BBBBEC-FB8F-47A9-AEB0-AEED3E44E86B}"/>
    <hyperlink ref="E104" r:id="rId31" xr:uid="{A871E713-5EA0-43B2-9DA3-1D6151DD6965}"/>
    <hyperlink ref="E85" r:id="rId32" xr:uid="{A541216F-1470-414E-9EAB-CA074BF6EB89}"/>
    <hyperlink ref="E107" r:id="rId33" xr:uid="{07B1E976-53D3-4317-AC2F-B3DB78649B77}"/>
    <hyperlink ref="E2" r:id="rId34" xr:uid="{0AE4E73F-FB2C-4028-920B-094809AA3D57}"/>
    <hyperlink ref="E3" r:id="rId35" xr:uid="{2CDD1A7F-42B2-4B50-AFA9-E362852E7D12}"/>
    <hyperlink ref="E4" r:id="rId36" xr:uid="{445FC7E8-E739-4B22-A250-A9288D8C8ABF}"/>
    <hyperlink ref="E5" r:id="rId37" xr:uid="{0A75FF7C-1B75-434F-9157-1101BB566F6B}"/>
    <hyperlink ref="E6" r:id="rId38" xr:uid="{8F5055D8-F661-4D9D-83F7-FEF031CD79F4}"/>
    <hyperlink ref="E7" r:id="rId39" xr:uid="{CE04DA35-2C26-4C72-9EBD-2FC569633ECF}"/>
    <hyperlink ref="E8" r:id="rId40" xr:uid="{D6844C0B-9711-431D-A11E-2E5ABCB5D583}"/>
    <hyperlink ref="E9" r:id="rId41" xr:uid="{9017F17C-8C1E-411D-9270-966810D8DB2C}"/>
    <hyperlink ref="E10" r:id="rId42" xr:uid="{D661D8E6-2D4B-41F1-858B-D4F74845F056}"/>
    <hyperlink ref="E11" r:id="rId43" xr:uid="{1DB15F33-0E23-4643-A0F6-CC4C01886756}"/>
    <hyperlink ref="E12" r:id="rId44" xr:uid="{C114332D-1DC4-453F-8CBE-E195F8CA50D3}"/>
    <hyperlink ref="E13" r:id="rId45" xr:uid="{CD01C50E-FE1C-4D83-A360-734E852EDD0A}"/>
    <hyperlink ref="E14" r:id="rId46" xr:uid="{8BD18C0B-613A-4458-831B-002E0A1EDBEE}"/>
    <hyperlink ref="E15" r:id="rId47" xr:uid="{94BB50E9-1795-4518-A286-BC9CA5E58BA7}"/>
    <hyperlink ref="E16" r:id="rId48" xr:uid="{6FD37497-B699-4647-A28D-7323CDEAAB0C}"/>
    <hyperlink ref="E17" r:id="rId49" xr:uid="{780E0DA4-943B-44F5-8F13-771F808ED01D}"/>
    <hyperlink ref="E19" r:id="rId50" xr:uid="{17A8D351-9CDE-4029-96DE-BDF9E265C01A}"/>
    <hyperlink ref="E20" r:id="rId51" xr:uid="{A7765470-BFBB-4060-A053-817C36158515}"/>
    <hyperlink ref="E21" r:id="rId52" xr:uid="{FA0D36BF-68F0-4277-A3FD-595683BB29D6}"/>
    <hyperlink ref="E22" r:id="rId53" xr:uid="{A1C70257-9C6B-4E64-92F3-EB27A81C7C34}"/>
    <hyperlink ref="E23" r:id="rId54" xr:uid="{FE928307-BFA9-4D6D-A5EA-94BB42FBC979}"/>
    <hyperlink ref="E24" r:id="rId55" xr:uid="{1AD1DFAF-EE93-4DF7-8D1E-76AD2A17A93E}"/>
    <hyperlink ref="E25" r:id="rId56" xr:uid="{EA689FEE-8D33-4EF0-9A0C-D50AA919B607}"/>
    <hyperlink ref="E26" r:id="rId57" xr:uid="{508AE06E-03D9-4B5C-8A96-9A7E4E54B013}"/>
    <hyperlink ref="E27" r:id="rId58" xr:uid="{72ABAA88-6739-47B8-AFA1-ECED82B19D4E}"/>
    <hyperlink ref="E28" r:id="rId59" xr:uid="{0DF58F3C-EF51-4D5F-B7C2-F4E639885CBD}"/>
    <hyperlink ref="E29" r:id="rId60" xr:uid="{626F38EC-FAE1-4C0B-AD33-BD9109B4835E}"/>
    <hyperlink ref="E18" r:id="rId61" xr:uid="{76EA11BF-8570-4A70-8D50-F79058084A86}"/>
    <hyperlink ref="E30" r:id="rId62" xr:uid="{0356B4D6-FFA6-4211-91B4-D33D17726556}"/>
    <hyperlink ref="E31" r:id="rId63" xr:uid="{22BD8A78-803E-4F0C-A954-3301A16AE596}"/>
    <hyperlink ref="E32" r:id="rId64" xr:uid="{1D7B70D5-0CC9-4808-9F2C-097DE08C19A6}"/>
    <hyperlink ref="E34" r:id="rId65" xr:uid="{FB7F3819-53BC-466F-BE63-17BDBB92AEB3}"/>
    <hyperlink ref="E35" r:id="rId66" xr:uid="{7E67C4A1-F547-40D1-92DB-51E2C37261E2}"/>
    <hyperlink ref="E36" r:id="rId67" xr:uid="{7B336F03-203B-4386-BFAB-5268C9522850}"/>
    <hyperlink ref="E33" r:id="rId68" xr:uid="{5C0548EA-061D-4758-A242-8165F209DB94}"/>
    <hyperlink ref="E37" r:id="rId69" xr:uid="{3A74A468-E246-4C8A-98E6-3C2F6270F3D1}"/>
    <hyperlink ref="E38" r:id="rId70" xr:uid="{F843244D-5C49-4092-AC29-7EA49AB048C1}"/>
    <hyperlink ref="E39" r:id="rId71" xr:uid="{1BA25EA6-1F63-4954-A9E1-47BEED40763F}"/>
    <hyperlink ref="E40" r:id="rId72" xr:uid="{0C622501-08E9-4669-9A8C-A11052A8AF9F}"/>
    <hyperlink ref="E41" r:id="rId73" xr:uid="{FE4CA96D-09B2-47B1-B3EC-827F956E0AAC}"/>
    <hyperlink ref="E42" r:id="rId74" xr:uid="{E6E49BD1-C892-4B23-8705-E440FD8B3809}"/>
    <hyperlink ref="E43" r:id="rId75" xr:uid="{EC95EEB4-E598-4E8D-AD9C-DE4D08D0B050}"/>
    <hyperlink ref="E44" r:id="rId76" xr:uid="{16FEEDA9-B972-415C-988D-E947ECDA20C5}"/>
    <hyperlink ref="E45" r:id="rId77" xr:uid="{3BCC7EE6-2CA3-4750-9E09-D28609238DD8}"/>
    <hyperlink ref="E46" r:id="rId78" xr:uid="{03C1FB7E-A435-436B-9FDD-581558115BF4}"/>
    <hyperlink ref="E47" r:id="rId79" xr:uid="{865CF780-62EA-4146-A0E4-280F73F7110C}"/>
    <hyperlink ref="E48" r:id="rId80" xr:uid="{1CBA41EB-607F-4F0A-9471-25D60A52D49C}"/>
    <hyperlink ref="E49" r:id="rId81" xr:uid="{DA02247C-85B0-4958-A60F-C88FD373178E}"/>
    <hyperlink ref="E50" r:id="rId82" xr:uid="{ED4435AE-B6E1-469D-8F4D-C32E6D8CDA5B}"/>
    <hyperlink ref="E51" r:id="rId83" xr:uid="{273EBA94-840D-4962-9CE0-A9DCC86E556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KhoiVTM</vt:lpstr>
      <vt:lpstr>EIM_Tracker</vt:lpstr>
      <vt:lpstr>Kicad_Extract</vt:lpstr>
      <vt:lpstr>BienNH</vt:lpstr>
      <vt:lpstr>NgaDTL</vt:lpstr>
      <vt:lpstr>Order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Minh Khôi Võ Tấn</dc:creator>
  <cp:keywords/>
  <dc:description/>
  <cp:lastModifiedBy>Minh Khôi Võ Tấn</cp:lastModifiedBy>
  <cp:revision/>
  <dcterms:created xsi:type="dcterms:W3CDTF">2026-03-08T12:06:42Z</dcterms:created>
  <dcterms:modified xsi:type="dcterms:W3CDTF">2026-05-13T15:46:20Z</dcterms:modified>
  <cp:category/>
  <cp:contentStatus/>
</cp:coreProperties>
</file>