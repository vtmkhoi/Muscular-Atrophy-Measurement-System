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f010977c1c328cb/Education/Master/04_Projects/Muscular-Atrophy-Measurement-System/docs/"/>
    </mc:Choice>
  </mc:AlternateContent>
  <xr:revisionPtr revIDLastSave="340" documentId="13_ncr:1_{076433C7-E8E5-45B6-8234-6805D4081437}" xr6:coauthVersionLast="47" xr6:coauthVersionMax="47" xr10:uidLastSave="{173330DD-BD0F-47D5-8161-3ABD0AEBF5DC}"/>
  <bookViews>
    <workbookView xWindow="-120" yWindow="-120" windowWidth="38640" windowHeight="21120" xr2:uid="{31CB3DE3-ED4B-4D40-BA7C-ABCB199A1E4A}"/>
  </bookViews>
  <sheets>
    <sheet name="Khôi" sheetId="1" r:id="rId1"/>
    <sheet name="Nga" sheetId="2" r:id="rId2"/>
  </sheets>
  <definedNames>
    <definedName name="_xlnm._FilterDatabase" localSheetId="0" hidden="1">Khôi!$A$1:$R$95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" i="1" l="1"/>
  <c r="I84" i="1" s="1"/>
  <c r="H95" i="1"/>
  <c r="I95" i="1" s="1"/>
  <c r="H94" i="1"/>
  <c r="I94" i="1"/>
  <c r="H93" i="1"/>
  <c r="I93" i="1"/>
  <c r="H92" i="1"/>
  <c r="I92" i="1" s="1"/>
  <c r="H91" i="1"/>
  <c r="I91" i="1" s="1"/>
  <c r="H90" i="1"/>
  <c r="I90" i="1" s="1"/>
  <c r="H89" i="1"/>
  <c r="I89" i="1" s="1"/>
  <c r="H88" i="1"/>
  <c r="I88" i="1" s="1"/>
  <c r="H87" i="1"/>
  <c r="I87" i="1" s="1"/>
  <c r="H86" i="1"/>
  <c r="I86" i="1" s="1"/>
  <c r="H85" i="1"/>
  <c r="I85" i="1" s="1"/>
  <c r="H83" i="1"/>
  <c r="I83" i="1" s="1"/>
  <c r="H82" i="1"/>
  <c r="I82" i="1" s="1"/>
  <c r="H81" i="1"/>
  <c r="I81" i="1" s="1"/>
  <c r="H80" i="1"/>
  <c r="I80" i="1" s="1"/>
  <c r="H13" i="1"/>
  <c r="I13" i="1" s="1"/>
  <c r="H79" i="1"/>
  <c r="I79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8" i="1"/>
  <c r="I68" i="1" s="1"/>
  <c r="H67" i="1"/>
  <c r="I67" i="1" s="1"/>
  <c r="H66" i="1"/>
  <c r="I66" i="1" s="1"/>
  <c r="H69" i="1"/>
  <c r="I69" i="1" s="1"/>
  <c r="H65" i="1"/>
  <c r="I65" i="1" s="1"/>
  <c r="H64" i="1"/>
  <c r="I64" i="1" s="1"/>
  <c r="H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U2" i="1" l="1"/>
  <c r="U4" i="1" s="1"/>
  <c r="I2" i="1"/>
  <c r="U3" i="1" s="1"/>
</calcChain>
</file>

<file path=xl/sharedStrings.xml><?xml version="1.0" encoding="utf-8"?>
<sst xmlns="http://schemas.openxmlformats.org/spreadsheetml/2006/main" count="967" uniqueCount="473">
  <si>
    <t>No.</t>
  </si>
  <si>
    <t>DigiKey Part Number</t>
  </si>
  <si>
    <t>Manufacturer Product Number</t>
  </si>
  <si>
    <t>Quant.</t>
  </si>
  <si>
    <t>Description</t>
  </si>
  <si>
    <t>Link DigiKey</t>
  </si>
  <si>
    <t>Price per Unit ($)</t>
  </si>
  <si>
    <t>Total Price ($)</t>
  </si>
  <si>
    <t>Total Price (VND)</t>
  </si>
  <si>
    <t>Value</t>
  </si>
  <si>
    <t>Unit</t>
  </si>
  <si>
    <t>Tolerance (%)</t>
  </si>
  <si>
    <t>Package</t>
  </si>
  <si>
    <t>Power (W)</t>
  </si>
  <si>
    <t>Category</t>
  </si>
  <si>
    <t>status</t>
  </si>
  <si>
    <t>System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</si>
  <si>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</si>
  <si>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</si>
  <si>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</si>
  <si>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</si>
  <si>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NaN</t>
  </si>
  <si>
    <t>N/A</t>
  </si>
  <si>
    <t>20-TSSOP</t>
  </si>
  <si>
    <t>IC</t>
  </si>
  <si>
    <t>Done</t>
  </si>
  <si>
    <t>EIM</t>
  </si>
  <si>
    <t>Total cost USDT</t>
  </si>
  <si>
    <t>505-AD8302ARUZ-ND</t>
  </si>
  <si>
    <t>AD8302ARUZ</t>
  </si>
  <si>
    <t>IC RF DETECT 2.7GHZ 14TSSOP</t>
  </si>
  <si>
    <t>https://www.mouser.vn/ProductDetail/Analog-Devices/AD8302ARUZ-RL7?qs=%2FtpEQrCGXCxf7u2FSUHSPQ%3D%3D</t>
  </si>
  <si>
    <t>14-TSSOP</t>
  </si>
  <si>
    <t>Tocal Cost VND</t>
  </si>
  <si>
    <t>497-14909-ND</t>
  </si>
  <si>
    <t>STM32F411RET6</t>
  </si>
  <si>
    <t>IC MCU 32BIT 512KB FLASH 64LQFP</t>
  </si>
  <si>
    <t>https://www.digikey.com/en/products/detail/stmicroelectronics/STM32F411RET6/4935722</t>
  </si>
  <si>
    <t>64-LQFP</t>
  </si>
  <si>
    <t>uC</t>
  </si>
  <si>
    <t>Total Cost Taiwan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</si>
  <si>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</si>
  <si>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</si>
  <si>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</si>
  <si>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</si>
  <si>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8-TSSOP</t>
  </si>
  <si>
    <t>Ordering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</si>
  <si>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</si>
  <si>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</si>
  <si>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</si>
  <si>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</si>
  <si>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t>6.8K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</si>
  <si>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</si>
  <si>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0603</t>
  </si>
  <si>
    <t>Resistor</t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</si>
  <si>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</si>
  <si>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</si>
  <si>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</si>
  <si>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</si>
  <si>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</si>
  <si>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</si>
  <si>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</si>
  <si>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</si>
  <si>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</si>
  <si>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</si>
  <si>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</si>
  <si>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</si>
  <si>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1.78K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</si>
  <si>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</si>
  <si>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</si>
  <si>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</si>
  <si>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</si>
  <si>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</si>
  <si>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</si>
  <si>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</si>
  <si>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</si>
  <si>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</si>
  <si>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</si>
  <si>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</si>
  <si>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</si>
  <si>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</si>
  <si>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</si>
  <si>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https://www.digikey.cn/en/products/detail/vishay-dale/tnpw06031k78beea/1606793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</si>
  <si>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</si>
  <si>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</si>
  <si>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</si>
  <si>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</si>
  <si>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</si>
  <si>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</si>
  <si>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</si>
  <si>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</si>
  <si>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2.67K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</si>
  <si>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</si>
  <si>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</si>
  <si>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</si>
  <si>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</si>
  <si>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</si>
  <si>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</si>
  <si>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</si>
  <si>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</si>
  <si>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10K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</si>
  <si>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</si>
  <si>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</si>
  <si>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</si>
  <si>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</si>
  <si>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</si>
  <si>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</si>
  <si>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</si>
  <si>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</si>
  <si>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20p</t>
  </si>
  <si>
    <t>Farad (F)</t>
  </si>
  <si>
    <t>Capacitor</t>
  </si>
  <si>
    <t>490-10700-2-ND</t>
  </si>
  <si>
    <t>GRM155R71H104KE14D</t>
  </si>
  <si>
    <t>CAP CER 0.1UF 50V X7R 0603</t>
  </si>
  <si>
    <t>https://www.digikey.com/en/products/detail/kemet/C0603C104K5RACTU/1465594</t>
  </si>
  <si>
    <t>0.1u</t>
  </si>
  <si>
    <t>399-C0603C105K3RACTUTR-ND</t>
  </si>
  <si>
    <t>C0603C105K3RACTU</t>
  </si>
  <si>
    <t>CAP CER 1UF 25V X7R 0603</t>
  </si>
  <si>
    <t>https://www.digikey.com/en/products/detail/kemet/C0603C105K3RACTU/3317410</t>
  </si>
  <si>
    <t>1u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</si>
  <si>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</si>
  <si>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</si>
  <si>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</si>
  <si>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</si>
  <si>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1p</t>
  </si>
  <si>
    <t>0402</t>
  </si>
  <si>
    <t>311-1873-2-ND</t>
  </si>
  <si>
    <t>CC0805KKX5R9BB225</t>
  </si>
  <si>
    <t>CAP CER 2.2UF 50V X5R 0805</t>
  </si>
  <si>
    <t>https://www.digikey.com/en/products/detail/yageo/CC0805KKX5R9BB225/5195775</t>
  </si>
  <si>
    <t>2.2u</t>
  </si>
  <si>
    <t>0805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</si>
  <si>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</si>
  <si>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</si>
  <si>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</si>
  <si>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</si>
  <si>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180p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</si>
  <si>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</si>
  <si>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</si>
  <si>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</si>
  <si>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</si>
  <si>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300p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</si>
  <si>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</si>
  <si>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</si>
  <si>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</si>
  <si>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</si>
  <si>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330p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</si>
  <si>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</si>
  <si>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</si>
  <si>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</si>
  <si>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</si>
  <si>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270p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</si>
  <si>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</si>
  <si>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</si>
  <si>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</si>
  <si>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</si>
  <si>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47p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</si>
  <si>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</si>
  <si>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</si>
  <si>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</si>
  <si>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</si>
  <si>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</si>
  <si>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</si>
  <si>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</si>
  <si>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</si>
  <si>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10000p (10n)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</si>
  <si>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</si>
  <si>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</si>
  <si>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</si>
  <si>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</si>
  <si>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</si>
  <si>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</si>
  <si>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</si>
  <si>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</si>
  <si>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8-SOIC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</si>
  <si>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</si>
  <si>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</si>
  <si>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</si>
  <si>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</si>
  <si>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270n</t>
  </si>
  <si>
    <t>Henry (H)</t>
  </si>
  <si>
    <t>Inductor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</si>
  <si>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</si>
  <si>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</si>
  <si>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</si>
  <si>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</si>
  <si>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390n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</si>
  <si>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</si>
  <si>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</si>
  <si>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</si>
  <si>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</si>
  <si>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470n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</si>
  <si>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</si>
  <si>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</si>
  <si>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</si>
  <si>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</si>
  <si>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75M</t>
  </si>
  <si>
    <t>Hertz (Hz)</t>
  </si>
  <si>
    <t>4-SMD</t>
  </si>
  <si>
    <t>Ocsillator</t>
  </si>
  <si>
    <t>296-50411-1-ND</t>
  </si>
  <si>
    <t>TLV75533PDBVR</t>
  </si>
  <si>
    <t>IC REG LINEAR 3.3V 500MA</t>
  </si>
  <si>
    <t>https://www.digikey.com/en/products/detail/texas-instruments/TLV75533PDBVR/9356541</t>
  </si>
  <si>
    <t>SOT-23-5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</si>
  <si>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</si>
  <si>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</si>
  <si>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</si>
  <si>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</si>
  <si>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1206</t>
  </si>
  <si>
    <t>FUSE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</si>
  <si>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</si>
  <si>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</si>
  <si>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</si>
  <si>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</si>
  <si>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SOD-123F</t>
  </si>
  <si>
    <t>Diode</t>
  </si>
  <si>
    <t>296-40695-1-ND</t>
  </si>
  <si>
    <t>TPD2E2U06QDBZRQ1</t>
  </si>
  <si>
    <t>TVS DIODE 5.5VWM 12.4VC SOT23-3</t>
  </si>
  <si>
    <t>https://www.digikey.com/en/products/detail/texas-instruments/TPD2E2U06QDBZRQ1/5056067</t>
  </si>
  <si>
    <t>Back-order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</si>
  <si>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</si>
  <si>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</si>
  <si>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</si>
  <si>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</si>
  <si>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490-5313-1-ND</t>
  </si>
  <si>
    <t>GRM32ER71E226KE15L</t>
  </si>
  <si>
    <t>CAP CER 22UF 25V X7R 1210</t>
  </si>
  <si>
    <t>https://www.digikey.sg/en/products/detail/murata-electronics/grm32er71e226ke15l/2039040</t>
  </si>
  <si>
    <t>22u</t>
  </si>
  <si>
    <t>1210</t>
  </si>
  <si>
    <t>490-10700-1-ND</t>
  </si>
  <si>
    <t>CAP CER 0.1UF 50V X7R 0402</t>
  </si>
  <si>
    <t>https://www.digikey.sg/en/products/detail/murata-electronics/grm155r71h104ke14d/4906220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</si>
  <si>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</si>
  <si>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</si>
  <si>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</si>
  <si>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</si>
  <si>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</si>
  <si>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</si>
  <si>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</si>
  <si>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</si>
  <si>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</si>
  <si>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</si>
  <si>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</si>
  <si>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</si>
  <si>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</si>
  <si>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</si>
  <si>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</si>
  <si>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</si>
  <si>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100K</t>
  </si>
  <si>
    <t>311-649KHRCT-ND</t>
  </si>
  <si>
    <t>RC0603FR-07649KL</t>
  </si>
  <si>
    <t>RES 649K OHM 1% 1/10W 0603</t>
  </si>
  <si>
    <t>https://www.digikey.sg/en/products/detail/yageo/rc0603fr-07649kl/727346</t>
  </si>
  <si>
    <t>649K</t>
  </si>
  <si>
    <t>490-3886-1-ND</t>
  </si>
  <si>
    <t>GRM21BR61C106KE15L</t>
  </si>
  <si>
    <t>CAP CER 10UF 16V X5R 0805</t>
  </si>
  <si>
    <t>https://www.digikey.sg/en/products/detail/murata-electronics/GRM21BR61C106KE15L/965900</t>
  </si>
  <si>
    <t>10u</t>
  </si>
  <si>
    <t>311-12.0KHRCT-ND</t>
  </si>
  <si>
    <t>RC0603FR-0712KL</t>
  </si>
  <si>
    <t>RES 12K OHM 1% 1/10W 0603</t>
  </si>
  <si>
    <t>https://www.digikey.sg/en/products/detail/yageo/rc0603fr-0712kl/726913</t>
  </si>
  <si>
    <t>12K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</si>
  <si>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</si>
  <si>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</si>
  <si>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</si>
  <si>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</si>
  <si>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0.04u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</si>
  <si>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</si>
  <si>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</si>
  <si>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</si>
  <si>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</si>
  <si>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15K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</si>
  <si>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</si>
  <si>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</si>
  <si>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</si>
  <si>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</si>
  <si>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0.68u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</si>
  <si>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</si>
  <si>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</si>
  <si>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</si>
  <si>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</si>
  <si>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100p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</si>
  <si>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</si>
  <si>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</si>
  <si>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</si>
  <si>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</si>
  <si>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</si>
  <si>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</si>
  <si>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</si>
  <si>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</si>
  <si>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</si>
  <si>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</si>
  <si>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</si>
  <si>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</si>
  <si>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</si>
  <si>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</si>
  <si>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</si>
  <si>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</si>
  <si>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</si>
  <si>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</si>
  <si>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Ferrite bead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</si>
  <si>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</si>
  <si>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</si>
  <si>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</si>
  <si>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</si>
  <si>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541-2.61KHCT-ND</t>
  </si>
  <si>
    <t>CRCW06032K61FKEA</t>
  </si>
  <si>
    <t>RES SMD 2.61K OHM 1% 1/8W 0603</t>
  </si>
  <si>
    <t>https://www.digikey.com/en/products/detail/vishay-dale/CRCW06032K61FKEA/1174713</t>
  </si>
  <si>
    <t>2K61</t>
  </si>
  <si>
    <t>399-C0402C151K5RACTUCT-ND</t>
  </si>
  <si>
    <t>C0402C151K5RACTU</t>
  </si>
  <si>
    <t>CAP CER 150PF 50V X7R 0402</t>
  </si>
  <si>
    <t>https://www.digikey.com/en/products/detail/kemet/C0402C151K5RACTU/1933627</t>
  </si>
  <si>
    <t>150p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</si>
  <si>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</si>
  <si>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</si>
  <si>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</si>
  <si>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</si>
  <si>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33p</t>
  </si>
  <si>
    <t>738-RNCF0603TKY49R9CT-ND</t>
  </si>
  <si>
    <t>RNCF0603TKY49R9</t>
  </si>
  <si>
    <t>RES 49.9 OHM 0.01% 1/10W 0603</t>
  </si>
  <si>
    <t>https://www.digikey.com/en/products/detail/stackpole-electronics-inc/RNCF0603TKY49R9/4072345</t>
  </si>
  <si>
    <t>0.1W</t>
  </si>
  <si>
    <t>RNCF0603TKY1K00CT-ND</t>
  </si>
  <si>
    <t>RNCF0603TKY1K00</t>
  </si>
  <si>
    <t>RES SMD 1K OHM 0.01% 1/10W 0603</t>
  </si>
  <si>
    <t>https://www.digikey.com/en/products/detail/stackpole-electronics-inc/RNCF0603TKY1K00/2269697</t>
  </si>
  <si>
    <t>1K</t>
  </si>
  <si>
    <t>738-RNCF0603TKY499RCT-ND</t>
  </si>
  <si>
    <t>RNCF0603TKY499R</t>
  </si>
  <si>
    <t>RES SMD 499 OHM 0.01% 1/10W 0603</t>
  </si>
  <si>
    <t>https://www.digikey.com/en/products/detail/stackpole-electronics-inc/RNCF0603TKY499R/4072346</t>
  </si>
  <si>
    <t>RG20N51WCT-ND</t>
  </si>
  <si>
    <t>RG2012N-510-W-T1</t>
  </si>
  <si>
    <t>RES SMD 51 OHM 0.05% 1/8W 0805</t>
  </si>
  <si>
    <t>https://www.digikey.com/en/products/detail/susumu/RG2012N-510-W-T1/600657</t>
  </si>
  <si>
    <t>0.125W</t>
  </si>
  <si>
    <t>408-1644-1-ND</t>
  </si>
  <si>
    <t>RG2012L-682-L-T05</t>
  </si>
  <si>
    <t>RES SMD 6.8KOHM 0.01% 1/10W 0805</t>
  </si>
  <si>
    <t>https://www.digikey.com/en/products/detail/susumu/RG2012L-682-L-T05/3738066</t>
  </si>
  <si>
    <t>399-C0603C103F3GECAUTOCT-ND</t>
  </si>
  <si>
    <t>C0603C103F3GECAUTO</t>
  </si>
  <si>
    <t>CAP CER 10000PF 25V C0G/NP0 0603</t>
  </si>
  <si>
    <t>https://www.digikey.com/en/products/detail/kemet/C0603C103F3GECAUTO/6826352</t>
  </si>
  <si>
    <t>0.01u</t>
  </si>
  <si>
    <t>1276-1033-1-ND</t>
  </si>
  <si>
    <t>CL10B104JB8NNNC</t>
  </si>
  <si>
    <t>https://www.digikey.com/en/products/detail/samsung-electro-mechanics/CL10B104JB8NNNC/3886691</t>
  </si>
  <si>
    <t>P100KBECT-ND</t>
  </si>
  <si>
    <t>ERA-3ARW104V</t>
  </si>
  <si>
    <t>RES SMD 100KOHM 0.05% 1/10W 0603</t>
  </si>
  <si>
    <t>https://www.digikey.com/en/products/detail/panasonic-industry/ERA-3ARW104V/3073685</t>
  </si>
  <si>
    <t>408-RG1608N-103-W-T5CT-ND</t>
  </si>
  <si>
    <t>RG1608N-103-W-T5</t>
  </si>
  <si>
    <t>RES SMD 10K OHM 0.05% 1/10W 0603</t>
  </si>
  <si>
    <t>https://www.digikey.com/en/products/detail/susumu/RG1608N-103-W-T5/1257543</t>
  </si>
  <si>
    <t>RG16N47WCT-ND</t>
  </si>
  <si>
    <t>RG1608N-470-W-T1</t>
  </si>
  <si>
    <t>RES SMD 47 OHM 0.05% 1/10W 0603</t>
  </si>
  <si>
    <t>https://www.digikey.com/en/products/detail/susumu/RG1608N-470-W-T1/600565</t>
  </si>
  <si>
    <t>RNCF0603AKT10R0CT-ND</t>
  </si>
  <si>
    <t>RNCF0603AKT10R0</t>
  </si>
  <si>
    <t>RES SMD 10 OHM 0.05% 1/10W 0603</t>
  </si>
  <si>
    <t>https://www.digikey.com/en/products/detail/stackpole-electronics-inc/RNCF0603AKT10R0/4928378</t>
  </si>
  <si>
    <t>490-16342-1-ND</t>
  </si>
  <si>
    <t>GRM1885C1H1R0WA01D</t>
  </si>
  <si>
    <t>CAP CER 1PF 50V C0G/NP0 0603</t>
  </si>
  <si>
    <t>https://www.digikey.com/en/products/detail/murata-electronics/GRM1885C1H1R0WA01D/7363086</t>
  </si>
  <si>
    <t>505-AD8066ARZ-R7CT-ND</t>
  </si>
  <si>
    <t>AD8066ARZ-R7</t>
  </si>
  <si>
    <t>IC VOLTAGE FEEDBACK 2 CIRC 8SOIC</t>
  </si>
  <si>
    <t>https://www.digikey.com/en/products/detail/analog-devices-inc/AD8066ARZ-R7/654014</t>
  </si>
  <si>
    <t>505-ADP2303ARDZ-5.0-R7CT-ND</t>
  </si>
  <si>
    <t>ADP2303ARDZ-5.0-R7</t>
  </si>
  <si>
    <t>IC REG BUCK 5V 3A 8SOIC</t>
  </si>
  <si>
    <t>https://www.digikey.com/en/products/detail/analog-devices-inc/ADP2303ARDZ-5-0-R7/2606549</t>
  </si>
  <si>
    <t>505-ADP7118AUJZ-3.3-R7CT-ND</t>
  </si>
  <si>
    <t>ADP7118AUJZ-3.3-R7</t>
  </si>
  <si>
    <t>IC REG LIN 3.3V 200MA TSOT-23-5</t>
  </si>
  <si>
    <t>https://www.digikey.com/en/products/detail/analog-devices-inc/ADP7118AUJZ-3-3-R7/5056890</t>
  </si>
  <si>
    <t>478-KGM15ACG1H102FTCT-ND</t>
  </si>
  <si>
    <t>KGM15ACG1H102FT</t>
  </si>
  <si>
    <t>CAP CER 1000PF 50V C0G/NP0 0603</t>
  </si>
  <si>
    <t>https://www.digikey.com/en/products/detail/kemet/c0402c102k5ractu/411034</t>
  </si>
  <si>
    <t>1000p (1n)</t>
  </si>
  <si>
    <t>2019-RN73R1JTTD22R0B25CT-ND</t>
  </si>
  <si>
    <t>RN73R1JTTD22R0B25</t>
  </si>
  <si>
    <t>RES 22 OHM 0.1% 1/10W 0603</t>
  </si>
  <si>
    <t>https://www.digikey.com/en/products/detail/koa-speer-electronics-inc/RN73R1JTTD22R0B25/10013029</t>
  </si>
  <si>
    <t>560p</t>
  </si>
  <si>
    <t>160p</t>
  </si>
  <si>
    <t>Note</t>
  </si>
  <si>
    <t>Replace 720p</t>
  </si>
  <si>
    <t>399-C0603C681F5GACTUCT-ND</t>
  </si>
  <si>
    <t>C0603C681F5GACTU</t>
  </si>
  <si>
    <t>CAP CER 680PF 50V C0G/NP0 0603</t>
  </si>
  <si>
    <t>https://www.digikey.com/en/products/detail/kemet/C0603C681F5GACTU/2201080</t>
  </si>
  <si>
    <t>680p</t>
  </si>
  <si>
    <t>445-MLF1608A1R0JT000CT-ND</t>
  </si>
  <si>
    <t>MLF1608A1R0JT000</t>
  </si>
  <si>
    <t>FIXED IND 1UH 50MA 500 MOHM SMD</t>
  </si>
  <si>
    <t>https://www.digikey.com/en/products/detail/tdk/MLF1608A1R0JT000/612989</t>
  </si>
  <si>
    <t>445-175367-1-ND</t>
  </si>
  <si>
    <t>MLF1608A1R5JT000</t>
  </si>
  <si>
    <t>FIXED IND 1.5UH 50MA 700 MOHM</t>
  </si>
  <si>
    <t>https://www.digikey.com/en/products/detail/tdk/MLF1608A1R5JT000/612991</t>
  </si>
  <si>
    <t>1.5u</t>
  </si>
  <si>
    <t>445-MLF1608A1R8JT000CT-ND</t>
  </si>
  <si>
    <t>MLF1608A1R8JT000</t>
  </si>
  <si>
    <t>FIXED IND 1.8UH 50MA 850 MOHM</t>
  </si>
  <si>
    <t>https://www.digikey.com/en/products/detail/tdk/MLF1608A1R8JT000/612992</t>
  </si>
  <si>
    <t>1.8u</t>
  </si>
  <si>
    <t>13-CC0603FRNPO9BN201CT-ND</t>
  </si>
  <si>
    <t>CC0603FRNPO9BN201</t>
  </si>
  <si>
    <t>CAP CER 200PF 50V C0G/NPO 0603</t>
  </si>
  <si>
    <t>https://www.digikey.com/en/products/detail/yageo/CC0603FRNPO9BN201/11490449</t>
  </si>
  <si>
    <t>200p</t>
  </si>
  <si>
    <t>399-C0603C391F5GACTUCT-ND</t>
  </si>
  <si>
    <t>C0603C391F5GACTU</t>
  </si>
  <si>
    <t>CAP CER 390PF 50V C0G/NP0 0603</t>
  </si>
  <si>
    <t>https://www.digikey.com/en/products/detail/kemet/C0603C391F5GACTU/2200659</t>
  </si>
  <si>
    <t>390p</t>
  </si>
  <si>
    <t>1276-1069-1-ND</t>
  </si>
  <si>
    <t>CL10C100CB8NNNC</t>
  </si>
  <si>
    <t>CAP CER 10PF 50V C0G/NP0 0603</t>
  </si>
  <si>
    <t>https://www.digikey.com/en/products/detail/samsung-electro-mechanics/CL10C100CB8NNNC/3886727</t>
  </si>
  <si>
    <t>10p</t>
  </si>
  <si>
    <t>±0.25pF%</t>
  </si>
  <si>
    <t>Replace 400pF</t>
  </si>
  <si>
    <t>12p</t>
  </si>
  <si>
    <t>399-C0603C121F5GACTUCT-ND</t>
  </si>
  <si>
    <t>C0603C121F5GACTU</t>
  </si>
  <si>
    <t>CAP CER 120PF 50V C0G/NP0 0603</t>
  </si>
  <si>
    <t>712-QSCP251Q120G1GV001TCT-ND</t>
  </si>
  <si>
    <t>QSCP251Q120G1GV001T</t>
  </si>
  <si>
    <t>CAP CER 12PF 250V C0G/NP0 0603</t>
  </si>
  <si>
    <t>https://www.digikey.com/en/products/detail/johanson-technology-inc/QSCP251Q120G1GV001T/1561602</t>
  </si>
  <si>
    <t>https://www.digikey.com/en/products/detail/kemet/c0603c121f5gactu/2199842</t>
  </si>
  <si>
    <t>120p</t>
  </si>
  <si>
    <t>311-3906-1-ND</t>
  </si>
  <si>
    <t>CC0603FRNPO9BN820</t>
  </si>
  <si>
    <t>CAP CER 82PF 50V C0G/NPO 0603</t>
  </si>
  <si>
    <t>https://www.digikey.com/en/products/detail/yageo/CC0603FRNPO9BN820/5883518</t>
  </si>
  <si>
    <t>82p</t>
  </si>
  <si>
    <t>Replace 132pF</t>
  </si>
  <si>
    <t>478-KGM15ACG1H221FTCT-ND</t>
  </si>
  <si>
    <t>KGM15ACG1H221FT</t>
  </si>
  <si>
    <t>CAP CER 220PF 50V C0G/NP0 0603</t>
  </si>
  <si>
    <t>https://www.digikey.sg/en/products/detail/kyocera-avx/KGM15ACG1H221FT/1116245</t>
  </si>
  <si>
    <t>220p</t>
  </si>
  <si>
    <t>311-3897-1-ND</t>
  </si>
  <si>
    <t>CC0603FRNPO9BN390</t>
  </si>
  <si>
    <t>CAP CER 39PF 50V C0G/NPO 0603</t>
  </si>
  <si>
    <t>https://www.digikey.sg/en/products/detail/yageo/CC0603FRNPO9BN390/5883506</t>
  </si>
  <si>
    <t>39p</t>
  </si>
  <si>
    <t>399-14491-1-ND</t>
  </si>
  <si>
    <t>C0603C161F5GACTU</t>
  </si>
  <si>
    <t>CAP CER 160PF 50V C0G/NP0 0603</t>
  </si>
  <si>
    <t>https://www.digikey.com/en/products/detail/kemet/C0603C161F5GACTU/2200035</t>
  </si>
  <si>
    <t>490-GCM1885C2A561FA16DCT-ND</t>
  </si>
  <si>
    <t>GCM1885C2A561FA16D</t>
  </si>
  <si>
    <t>CAP CER 560PF 100V C0G/NP0 0603</t>
  </si>
  <si>
    <t>https://www.digikey.com/en/products/detail/murata-electronics/GCM1885C2A561FA16D/11618566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</si>
</sst>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[$¥-804]#,##0;[Red][$¥-804]\-#,##0"/>
    <numFmt numFmtId="166" formatCode="#,##0\ [$₫-42A]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2" xfId="0" applyBorder="1"/>
    <xf numFmtId="164" fontId="0" fillId="0" borderId="2" xfId="0" applyNumberFormat="1" applyBorder="1"/>
    <xf numFmtId="0" fontId="3" fillId="0" borderId="2" xfId="2" applyBorder="1"/>
    <xf numFmtId="164" fontId="0" fillId="4" borderId="2" xfId="0" applyNumberFormat="1" applyFill="1" applyBorder="1"/>
    <xf numFmtId="0" fontId="3" fillId="4" borderId="2" xfId="2" applyFill="1" applyBorder="1"/>
    <xf numFmtId="0" fontId="0" fillId="4" borderId="2" xfId="0" applyFill="1" applyBorder="1"/>
    <xf numFmtId="0" fontId="6" fillId="4" borderId="2" xfId="0" applyFont="1" applyFill="1" applyBorder="1"/>
    <xf numFmtId="164" fontId="6" fillId="4" borderId="2" xfId="0" applyNumberFormat="1" applyFont="1" applyFill="1" applyBorder="1"/>
    <xf numFmtId="0" fontId="7" fillId="4" borderId="2" xfId="2" applyFont="1" applyFill="1" applyBorder="1"/>
    <xf numFmtId="0" fontId="6" fillId="4" borderId="2" xfId="0" applyFont="1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1" fillId="2" borderId="2" xfId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2" borderId="2" xfId="1" applyFont="1" applyBorder="1" applyAlignment="1">
      <alignment horizontal="center" vertical="center"/>
    </xf>
    <xf numFmtId="0" fontId="0" fillId="0" borderId="5" xfId="0" applyBorder="1"/>
    <xf numFmtId="0" fontId="3" fillId="0" borderId="5" xfId="2" applyBorder="1"/>
    <xf numFmtId="164" fontId="0" fillId="0" borderId="5" xfId="0" applyNumberFormat="1" applyBorder="1"/>
    <xf numFmtId="0" fontId="0" fillId="0" borderId="5" xfId="0" applyBorder="1" applyAlignment="1">
      <alignment horizontal="right"/>
    </xf>
    <xf numFmtId="0" fontId="0" fillId="4" borderId="5" xfId="0" applyFill="1" applyBorder="1" applyAlignment="1">
      <alignment horizontal="right"/>
    </xf>
    <xf numFmtId="0" fontId="1" fillId="2" borderId="5" xfId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0" fillId="0" borderId="2" xfId="0" quotePrefix="1" applyBorder="1" applyAlignment="1">
      <alignment horizontal="right"/>
    </xf>
    <xf numFmtId="0" fontId="0" fillId="4" borderId="2" xfId="0" quotePrefix="1" applyFill="1" applyBorder="1" applyAlignment="1">
      <alignment horizontal="right"/>
    </xf>
    <xf numFmtId="0" fontId="0" fillId="5" borderId="2" xfId="0" quotePrefix="1" applyFill="1" applyBorder="1" applyAlignment="1">
      <alignment horizontal="right"/>
    </xf>
    <xf numFmtId="0" fontId="6" fillId="5" borderId="2" xfId="0" quotePrefix="1" applyFont="1" applyFill="1" applyBorder="1" applyAlignment="1">
      <alignment horizontal="right"/>
    </xf>
    <xf numFmtId="0" fontId="6" fillId="4" borderId="2" xfId="0" quotePrefix="1" applyFont="1" applyFill="1" applyBorder="1" applyAlignment="1">
      <alignment horizontal="right"/>
    </xf>
    <xf numFmtId="0" fontId="2" fillId="6" borderId="2" xfId="0" applyFont="1" applyFill="1" applyBorder="1" applyAlignment="1">
      <alignment horizontal="right"/>
    </xf>
    <xf numFmtId="10" fontId="0" fillId="0" borderId="2" xfId="0" applyNumberFormat="1" applyBorder="1" applyAlignment="1">
      <alignment horizontal="right"/>
    </xf>
    <xf numFmtId="9" fontId="0" fillId="0" borderId="2" xfId="0" applyNumberFormat="1" applyBorder="1" applyAlignment="1">
      <alignment horizontal="right"/>
    </xf>
    <xf numFmtId="166" fontId="0" fillId="0" borderId="5" xfId="0" applyNumberFormat="1" applyBorder="1"/>
    <xf numFmtId="166" fontId="0" fillId="0" borderId="2" xfId="0" applyNumberFormat="1" applyBorder="1"/>
    <xf numFmtId="166" fontId="0" fillId="4" borderId="2" xfId="0" applyNumberFormat="1" applyFill="1" applyBorder="1"/>
    <xf numFmtId="166" fontId="6" fillId="4" borderId="2" xfId="0" applyNumberFormat="1" applyFont="1" applyFill="1" applyBorder="1"/>
    <xf numFmtId="166" fontId="0" fillId="0" borderId="0" xfId="0" applyNumberFormat="1"/>
    <xf numFmtId="0" fontId="0" fillId="7" borderId="3" xfId="0" applyFill="1" applyBorder="1"/>
    <xf numFmtId="0" fontId="0" fillId="7" borderId="1" xfId="0" applyFill="1" applyBorder="1"/>
    <xf numFmtId="166" fontId="8" fillId="0" borderId="5" xfId="0" applyNumberFormat="1" applyFont="1" applyBorder="1"/>
    <xf numFmtId="164" fontId="8" fillId="0" borderId="3" xfId="0" applyNumberFormat="1" applyFont="1" applyBorder="1"/>
    <xf numFmtId="165" fontId="8" fillId="0" borderId="3" xfId="0" applyNumberFormat="1" applyFont="1" applyBorder="1"/>
    <xf numFmtId="0" fontId="0" fillId="0" borderId="7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0" xfId="0" applyBorder="1" applyAlignment="1">
      <alignment horizont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murata-electronics/GRM1885C1H470JA01D/586904" TargetMode="External"/><Relationship Id="rId21" Type="http://schemas.openxmlformats.org/officeDocument/2006/relationships/hyperlink" Target="https://www.digikey.com/en/products/detail/yageo/CC0805KKX5R9BB225/5195775" TargetMode="External"/><Relationship Id="rId42" Type="http://schemas.openxmlformats.org/officeDocument/2006/relationships/hyperlink" Target="https://www.digikey.sg/en/products/detail/analog-devices-inc/ADP5070AREZ/5408965?s=N4IgTCBcDaIKwAY4FoCCARACog7A1ASgKIBayAcuiALoC%2BQA" TargetMode="External"/><Relationship Id="rId47" Type="http://schemas.openxmlformats.org/officeDocument/2006/relationships/hyperlink" Target="https://www.digikey.sg/en/products/detail/murata-electronics/GRM21BR61C106KE15L/965900" TargetMode="External"/><Relationship Id="rId63" Type="http://schemas.openxmlformats.org/officeDocument/2006/relationships/hyperlink" Target="https://www.digikey.com/en/products/detail/stackpole-electronics-inc/RNCF0603TKY1K00/2269697" TargetMode="External"/><Relationship Id="rId68" Type="http://schemas.openxmlformats.org/officeDocument/2006/relationships/hyperlink" Target="https://www.digikey.com/en/products/detail/samsung-electro-mechanics/CL10B104JB8NNNC/3886691" TargetMode="External"/><Relationship Id="rId84" Type="http://schemas.openxmlformats.org/officeDocument/2006/relationships/hyperlink" Target="https://www.digikey.com/en/products/detail/tdk/MLF1608A1R0JT000/612989" TargetMode="External"/><Relationship Id="rId89" Type="http://schemas.openxmlformats.org/officeDocument/2006/relationships/hyperlink" Target="https://www.digikey.com/en/products/detail/samsung-electro-mechanics/CL10C100CB8NNNC/3886727" TargetMode="External"/><Relationship Id="rId16" Type="http://schemas.openxmlformats.org/officeDocument/2006/relationships/hyperlink" Target="https://www.digikey.com/en/products/detail/vishay-dale/tnpw060310r0beea/1606539" TargetMode="External"/><Relationship Id="rId11" Type="http://schemas.openxmlformats.org/officeDocument/2006/relationships/hyperlink" Target="https://www.digikey.com/en/products/detail/vishay-dale/tnpw0603499rbeea/1606732" TargetMode="External"/><Relationship Id="rId32" Type="http://schemas.openxmlformats.org/officeDocument/2006/relationships/hyperlink" Target="https://www.digikey.com/en/products/detail/murata-electronics/LQW18ANR39J00D/584391" TargetMode="External"/><Relationship Id="rId37" Type="http://schemas.openxmlformats.org/officeDocument/2006/relationships/hyperlink" Target="https://www.digikey.com/en/products/detail/diotec-semiconductor/SMF5-0A/13163545" TargetMode="External"/><Relationship Id="rId53" Type="http://schemas.openxmlformats.org/officeDocument/2006/relationships/hyperlink" Target="https://www.digikey.sg/en/products/detail/murata-electronics/grm1885c1h101ja01d/586921" TargetMode="External"/><Relationship Id="rId58" Type="http://schemas.openxmlformats.org/officeDocument/2006/relationships/hyperlink" Target="https://www.digikey.sg/en/products/detail/murata-electronics/GRM188R61A105KA61D/587071?s=N4IgTCBcDaICwE4AMBaAjAVjgZhWFAcgCIgC6AvkA" TargetMode="External"/><Relationship Id="rId74" Type="http://schemas.openxmlformats.org/officeDocument/2006/relationships/hyperlink" Target="https://www.digikey.com/en/products/detail/analog-devices-inc/AD8066ARZ-R7/654014" TargetMode="External"/><Relationship Id="rId79" Type="http://schemas.openxmlformats.org/officeDocument/2006/relationships/hyperlink" Target="https://www.digikey.com/en/products/detail/koa-speer-electronics-inc/RN73R1JTTD22R0B25/10013029" TargetMode="External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90" Type="http://schemas.openxmlformats.org/officeDocument/2006/relationships/hyperlink" Target="https://www.digikey.com/en/products/detail/johanson-technology-inc/QSCP251Q120G1GV001T/1561602" TargetMode="External"/><Relationship Id="rId95" Type="http://schemas.openxmlformats.org/officeDocument/2006/relationships/printerSettings" Target="../printerSettings/printerSettings1.bin"/><Relationship Id="rId22" Type="http://schemas.openxmlformats.org/officeDocument/2006/relationships/hyperlink" Target="https://www.digikey.com/en/products/detail/murata-electronics/grm1885c1h181ja01j/2611094" TargetMode="External"/><Relationship Id="rId27" Type="http://schemas.openxmlformats.org/officeDocument/2006/relationships/hyperlink" Target="https://www.digikey.com/en/products/detail/murata-electronics/GRM188R72A104KA35D/702826" TargetMode="External"/><Relationship Id="rId43" Type="http://schemas.openxmlformats.org/officeDocument/2006/relationships/hyperlink" Target="https://www.digikey.sg/en/products/detail/diodes-incorporated/DFLS240-7/1934953" TargetMode="External"/><Relationship Id="rId48" Type="http://schemas.openxmlformats.org/officeDocument/2006/relationships/hyperlink" Target="https://www.digikey.sg/en/products/detail/yageo/rc0603fr-0712kl/726913" TargetMode="External"/><Relationship Id="rId64" Type="http://schemas.openxmlformats.org/officeDocument/2006/relationships/hyperlink" Target="https://www.digikey.com/en/products/detail/stackpole-electronics-inc/RNCF0603TKY499R/4072346" TargetMode="External"/><Relationship Id="rId69" Type="http://schemas.openxmlformats.org/officeDocument/2006/relationships/hyperlink" Target="https://www.digikey.com/en/products/detail/panasonic-industry/ERA-3ARW104V/3073685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murata-electronics/gcj188r71h683ka12d/2783812" TargetMode="External"/><Relationship Id="rId72" Type="http://schemas.openxmlformats.org/officeDocument/2006/relationships/hyperlink" Target="https://www.digikey.com/en/products/detail/stackpole-electronics-inc/RNCF0603AKT10R0/4928378" TargetMode="External"/><Relationship Id="rId80" Type="http://schemas.openxmlformats.org/officeDocument/2006/relationships/hyperlink" Target="https://www.digikey.com/en/products/detail/yageo/RC0603JR-070RL/726675?s=N4IgTCBcDaIEoGEAMA2JBmAUnAtEg7EnADIgC6AvkA" TargetMode="External"/><Relationship Id="rId85" Type="http://schemas.openxmlformats.org/officeDocument/2006/relationships/hyperlink" Target="https://www.digikey.com/en/products/detail/tdk/MLF1608A1R5JT000/612991" TargetMode="External"/><Relationship Id="rId93" Type="http://schemas.openxmlformats.org/officeDocument/2006/relationships/hyperlink" Target="https://www.digikey.sg/en/products/detail/kyocera-avx/KGM15ACG1H221FT/1116245" TargetMode="External"/><Relationship Id="rId3" Type="http://schemas.openxmlformats.org/officeDocument/2006/relationships/hyperlink" Target="https://www.digikey.com/en/products/detail/stmicroelectronics/STM32F411RET6/4935722" TargetMode="External"/><Relationship Id="rId12" Type="http://schemas.openxmlformats.org/officeDocument/2006/relationships/hyperlink" Target="https://www.digikey.com/en/products/detail/yageo/rc0603fr-07510rl/727285" TargetMode="External"/><Relationship Id="rId17" Type="http://schemas.openxmlformats.org/officeDocument/2006/relationships/hyperlink" Target="https://www.digikey.com/en/products/detail/murata-electronics/GRM1885C1H200JA01D/586920" TargetMode="External"/><Relationship Id="rId25" Type="http://schemas.openxmlformats.org/officeDocument/2006/relationships/hyperlink" Target="https://www.digikey.com/en/products/detail/murata-electronics/grm1885c1h271ja01j/2611130" TargetMode="External"/><Relationship Id="rId33" Type="http://schemas.openxmlformats.org/officeDocument/2006/relationships/hyperlink" Target="https://www.digikey.com/en/products/detail/murata-electronics/LQW18ANR47J00D/584392" TargetMode="External"/><Relationship Id="rId38" Type="http://schemas.openxmlformats.org/officeDocument/2006/relationships/hyperlink" Target="https://www.digikey.com/en/products/detail/texas-instruments/TPD2E2U06QDBZRQ1/5056067" TargetMode="External"/><Relationship Id="rId46" Type="http://schemas.openxmlformats.org/officeDocument/2006/relationships/hyperlink" Target="https://www.digikey.sg/en/products/detail/yageo/rc0603fr-07649kl/727346" TargetMode="External"/><Relationship Id="rId59" Type="http://schemas.openxmlformats.org/officeDocument/2006/relationships/hyperlink" Target="https://www.digikey.com/en/products/detail/vishay-dale/CRCW06032K61FKEA/1174713" TargetMode="External"/><Relationship Id="rId67" Type="http://schemas.openxmlformats.org/officeDocument/2006/relationships/hyperlink" Target="https://www.digikey.com/en/products/detail/kemet/C0603C103F3GECAUTO/6826352" TargetMode="External"/><Relationship Id="rId20" Type="http://schemas.openxmlformats.org/officeDocument/2006/relationships/hyperlink" Target="https://www.digikey.com/en/products/detail/murata-electronics/grm1555c1h1r0wa01j/4904825" TargetMode="External"/><Relationship Id="rId41" Type="http://schemas.openxmlformats.org/officeDocument/2006/relationships/hyperlink" Target="https://www.digikey.sg/en/products/detail/murata-electronics/grm155r71h104ke14d/4906220" TargetMode="External"/><Relationship Id="rId54" Type="http://schemas.openxmlformats.org/officeDocument/2006/relationships/hyperlink" Target="https://www.digikey.sg/en/products/detail/analog-devices-inc/adp7182aujz-5-0-r7/4901224" TargetMode="External"/><Relationship Id="rId62" Type="http://schemas.openxmlformats.org/officeDocument/2006/relationships/hyperlink" Target="https://www.digikey.com/en/products/detail/stackpole-electronics-inc/RNCF0603TKY49R9/4072345" TargetMode="External"/><Relationship Id="rId70" Type="http://schemas.openxmlformats.org/officeDocument/2006/relationships/hyperlink" Target="https://www.digikey.com/en/products/detail/susumu/RG1608N-103-W-T5/1257543" TargetMode="External"/><Relationship Id="rId75" Type="http://schemas.openxmlformats.org/officeDocument/2006/relationships/hyperlink" Target="https://www.digikey.com/en/products/detail/analog-devices-inc/ADP2303ARDZ-5-0-R7/2606549" TargetMode="External"/><Relationship Id="rId83" Type="http://schemas.openxmlformats.org/officeDocument/2006/relationships/hyperlink" Target="https://www.digikey.com/en/products/detail/kemet/C0603C681F5GACTU/2201080" TargetMode="External"/><Relationship Id="rId88" Type="http://schemas.openxmlformats.org/officeDocument/2006/relationships/hyperlink" Target="https://www.digikey.com/en/products/detail/kemet/C0603C391F5GACTU/2200659" TargetMode="External"/><Relationship Id="rId91" Type="http://schemas.openxmlformats.org/officeDocument/2006/relationships/hyperlink" Target="https://www.digikey.com/en/products/detail/kemet/c0603c121f5gactu/2199842" TargetMode="External"/><Relationship Id="rId1" Type="http://schemas.openxmlformats.org/officeDocument/2006/relationships/hyperlink" Target="https://www.mouser.vn/ProductDetail/Analog-Devices/AD8302ARUZ-RL7?qs=%2FtpEQrCGXCxf7u2FSUHSPQ%3D%3D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10kl/726880" TargetMode="External"/><Relationship Id="rId23" Type="http://schemas.openxmlformats.org/officeDocument/2006/relationships/hyperlink" Target="https://www.digikey.com/en/products/detail/murata-electronics/grm1885c1h301ja01d/586964" TargetMode="External"/><Relationship Id="rId28" Type="http://schemas.openxmlformats.org/officeDocument/2006/relationships/hyperlink" Target="https://www.digikey.com/en/products/detail/murata-electronics/GRM188R72A103KA01D/3845635" TargetMode="External"/><Relationship Id="rId36" Type="http://schemas.openxmlformats.org/officeDocument/2006/relationships/hyperlink" Target="https://www.digikey.com/en/products/detail/littelfuse-inc/1206L050-15YR/1211396" TargetMode="External"/><Relationship Id="rId49" Type="http://schemas.openxmlformats.org/officeDocument/2006/relationships/hyperlink" Target="https://www.digikey.sg/en/products/detail/murata-electronics/GCJ188R71H473KA12D/2785873?s=N4IgTCBcDaICwE4AMBaArADjXFYUDkAREAXQF8g" TargetMode="External"/><Relationship Id="rId57" Type="http://schemas.openxmlformats.org/officeDocument/2006/relationships/hyperlink" Target="https://www.digikey.sg/en/products/detail/murata-electronics/blm18kg601sn1d/1982766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murata-electronics/LQW18ANR27J00D/584389" TargetMode="External"/><Relationship Id="rId44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2" Type="http://schemas.openxmlformats.org/officeDocument/2006/relationships/hyperlink" Target="https://www.digikey.sg/en/products/detail/analog-devices-inc/adp7142aujz-5-0-r7/5056896" TargetMode="External"/><Relationship Id="rId60" Type="http://schemas.openxmlformats.org/officeDocument/2006/relationships/hyperlink" Target="https://www.digikey.com/en/products/detail/kemet/C0402C151K5RACTU/1933627" TargetMode="External"/><Relationship Id="rId65" Type="http://schemas.openxmlformats.org/officeDocument/2006/relationships/hyperlink" Target="https://www.digikey.com/en/products/detail/susumu/RG2012N-510-W-T1/600657" TargetMode="External"/><Relationship Id="rId73" Type="http://schemas.openxmlformats.org/officeDocument/2006/relationships/hyperlink" Target="https://www.digikey.com/en/products/detail/murata-electronics/GRM1885C1H1R0WA01D/7363086" TargetMode="External"/><Relationship Id="rId78" Type="http://schemas.openxmlformats.org/officeDocument/2006/relationships/hyperlink" Target="https://www.digikey.cn/en/products/detail/vishay-dale/tnpw06031k78beea/1606793" TargetMode="External"/><Relationship Id="rId81" Type="http://schemas.openxmlformats.org/officeDocument/2006/relationships/hyperlink" Target="https://www.digikey.com/en/products/detail/murata-electronics/GCM1885C2A561FA16D/11618566" TargetMode="External"/><Relationship Id="rId86" Type="http://schemas.openxmlformats.org/officeDocument/2006/relationships/hyperlink" Target="https://www.digikey.com/en/products/detail/tdk/MLF1608A1R8JT000/612992" TargetMode="External"/><Relationship Id="rId94" Type="http://schemas.openxmlformats.org/officeDocument/2006/relationships/hyperlink" Target="https://www.digikey.sg/en/products/detail/yageo/CC0603FRNPO9BN390/5883506" TargetMode="External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Relationship Id="rId13" Type="http://schemas.openxmlformats.org/officeDocument/2006/relationships/hyperlink" Target="https://www.digikey.com/en/products/detail/yageo-america/rc0603fr-072k67l/22283163" TargetMode="External"/><Relationship Id="rId18" Type="http://schemas.openxmlformats.org/officeDocument/2006/relationships/hyperlink" Target="https://www.digikey.com/en/products/detail/kemet/C0603C104K5RACTU/1465594" TargetMode="External"/><Relationship Id="rId39" Type="http://schemas.openxmlformats.org/officeDocument/2006/relationships/hyperlink" Target="https://www.digikey.sg/en/products/detail/taiwan-semiconductor-corporation/SS24/7369395?s=N4IgTCBcDaIIwA4AMcC0BldYAsAVASqgHIAiIAugL5A" TargetMode="External"/><Relationship Id="rId34" Type="http://schemas.openxmlformats.org/officeDocument/2006/relationships/hyperlink" Target="https://www.digikey.com/en/products/detail/abracon-llc/ASDMB-75-000MHZ-LY-T/2624314" TargetMode="External"/><Relationship Id="rId50" Type="http://schemas.openxmlformats.org/officeDocument/2006/relationships/hyperlink" Target="https://www.digikey.sg/en/products/detail/yageo/RC0603FR-0715KL/726953?s=N4IgTCBcDaIMwEYEFoEFYB0AGA0gCQCUAVA5AOQBEQBdAXyA" TargetMode="External"/><Relationship Id="rId55" Type="http://schemas.openxmlformats.org/officeDocument/2006/relationships/hyperlink" Target="https://www.digikey.sg/en/products/detail/texas-instruments/tps7a2033pdbvr/13566866" TargetMode="External"/><Relationship Id="rId76" Type="http://schemas.openxmlformats.org/officeDocument/2006/relationships/hyperlink" Target="https://www.digikey.com/en/products/detail/analog-devices-inc/ADP7118AUJZ-3-3-R7/5056890" TargetMode="External"/><Relationship Id="rId7" Type="http://schemas.openxmlformats.org/officeDocument/2006/relationships/hyperlink" Target="https://www.digikey.com/en/products/detail/vishay-dale/tnpw0603280rbeea/1606702" TargetMode="External"/><Relationship Id="rId71" Type="http://schemas.openxmlformats.org/officeDocument/2006/relationships/hyperlink" Target="https://www.digikey.com/en/products/detail/susumu/RG1608N-470-W-T1/600565" TargetMode="External"/><Relationship Id="rId92" Type="http://schemas.openxmlformats.org/officeDocument/2006/relationships/hyperlink" Target="https://www.digikey.com/en/products/detail/yageo/CC0603FRNPO9BN820/5883518" TargetMode="External"/><Relationship Id="rId2" Type="http://schemas.openxmlformats.org/officeDocument/2006/relationships/hyperlink" Target="https://www.digikey.com/en/products/detail/analog-devices-inc/AD9834BRUZ-REEL7/994992" TargetMode="External"/><Relationship Id="rId29" Type="http://schemas.openxmlformats.org/officeDocument/2006/relationships/hyperlink" Target="https://www.digikey.com/en/products/detail/panasonic-electronic-components/ERJ-3EKF49R9V/196378" TargetMode="External"/><Relationship Id="rId24" Type="http://schemas.openxmlformats.org/officeDocument/2006/relationships/hyperlink" Target="https://www.digikey.com/en/products/detail/murata-electronics/grm1885c1h331ja01j/2611160" TargetMode="External"/><Relationship Id="rId40" Type="http://schemas.openxmlformats.org/officeDocument/2006/relationships/hyperlink" Target="https://www.digikey.sg/en/products/detail/murata-electronics/grm32er71e226ke15l/2039040" TargetMode="External"/><Relationship Id="rId45" Type="http://schemas.openxmlformats.org/officeDocument/2006/relationships/hyperlink" Target="https://www.digikey.sg/en/products/detail/vishay-dale/TNPW0603100KBEEN/1610202?s=N4IgTCBcDaIKwBYCMBaAzHAbAThWFAcgCIgC6AvkA" TargetMode="External"/><Relationship Id="rId66" Type="http://schemas.openxmlformats.org/officeDocument/2006/relationships/hyperlink" Target="https://www.digikey.com/en/products/detail/susumu/RG2012L-682-L-T05/3738066" TargetMode="External"/><Relationship Id="rId87" Type="http://schemas.openxmlformats.org/officeDocument/2006/relationships/hyperlink" Target="https://www.digikey.com/en/products/detail/yageo/CC0603FRNPO9BN201/11490449" TargetMode="External"/><Relationship Id="rId61" Type="http://schemas.openxmlformats.org/officeDocument/2006/relationships/hyperlink" Target="https://www.digikey.com/en/products/detail/samsung-electro-mechanics/CL10C330JB8NNNC/3886728" TargetMode="External"/><Relationship Id="rId82" Type="http://schemas.openxmlformats.org/officeDocument/2006/relationships/hyperlink" Target="https://www.digikey.com/en/products/detail/kemet/C0603C161F5GACTU/2200035" TargetMode="External"/><Relationship Id="rId19" Type="http://schemas.openxmlformats.org/officeDocument/2006/relationships/hyperlink" Target="https://www.digikey.com/en/products/detail/kemet/C0603C105K3RACTU/3317410" TargetMode="External"/><Relationship Id="rId14" Type="http://schemas.openxmlformats.org/officeDocument/2006/relationships/hyperlink" Target="https://www.digikey.com/en/products/detail/yageo/rc0603fr-0751rl/727281" TargetMode="External"/><Relationship Id="rId30" Type="http://schemas.openxmlformats.org/officeDocument/2006/relationships/hyperlink" Target="https://www.digikey.com/en/products/detail/analog-devices-inc/ad8014arz/620459" TargetMode="External"/><Relationship Id="rId35" Type="http://schemas.openxmlformats.org/officeDocument/2006/relationships/hyperlink" Target="https://www.digikey.com/en/products/detail/texas-instruments/TLV75533PDBVR/9356541" TargetMode="External"/><Relationship Id="rId56" Type="http://schemas.openxmlformats.org/officeDocument/2006/relationships/hyperlink" Target="https://www.digikey.sg/en/products/detail/texas-instruments/tlv75533pdbvr/9356541" TargetMode="External"/><Relationship Id="rId77" Type="http://schemas.openxmlformats.org/officeDocument/2006/relationships/hyperlink" Target="https://www.digikey.com/en/products/detail/kemet/c0402c102k5ractu/4110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sheetPr filterMode="1"/>
  <dimension ref="A1:U99"/>
  <sheetViews>
    <sheetView tabSelected="1" zoomScale="130" zoomScaleNormal="130" workbookViewId="0">
      <pane ySplit="1" topLeftCell="A19" activePane="bottomLeft" state="frozen"/>
      <selection pane="bottomLeft" activeCell="I83" sqref="I83"/>
    </sheetView>
  </sheetViews>
  <sheetFormatPr defaultRowHeight="15" x14ac:dyDescent="0.25"/>
  <cols>
    <col min="1" max="1" width="5.85546875" customWidth="1"/>
    <col min="2" max="2" width="35.85546875" customWidth="1"/>
    <col min="3" max="3" width="23.85546875" customWidth="1"/>
    <col min="4" max="4" width="7" customWidth="1"/>
    <col min="5" max="5" width="34.7109375" customWidth="1"/>
    <col min="6" max="6" width="29.5703125" customWidth="1"/>
    <col min="7" max="7" width="13.85546875" customWidth="1"/>
    <col min="8" max="8" width="11.5703125" customWidth="1"/>
    <col min="9" max="9" width="13.5703125" style="37" customWidth="1"/>
    <col min="10" max="10" width="14.85546875" customWidth="1"/>
    <col min="11" max="12" width="11.5703125" customWidth="1"/>
    <col min="13" max="13" width="9.7109375" customWidth="1"/>
    <col min="14" max="14" width="9.140625" hidden="1" customWidth="1"/>
    <col min="15" max="15" width="11.140625" customWidth="1"/>
    <col min="16" max="16" width="10.28515625" customWidth="1"/>
    <col min="18" max="19" width="10.140625" customWidth="1"/>
    <col min="20" max="20" width="19.42578125" customWidth="1"/>
    <col min="21" max="21" width="16" bestFit="1" customWidth="1"/>
  </cols>
  <sheetData>
    <row r="1" spans="1:21" ht="41.25" customHeight="1" thickTop="1" thickBot="1" x14ac:dyDescent="0.3">
      <c r="A1" s="23" t="s">
        <v>0</v>
      </c>
      <c r="B1" s="21" t="s">
        <v>1</v>
      </c>
      <c r="C1" s="21" t="s">
        <v>2</v>
      </c>
      <c r="D1" s="21" t="s">
        <v>3</v>
      </c>
      <c r="E1" s="22" t="s">
        <v>4</v>
      </c>
      <c r="F1" s="21" t="s">
        <v>5</v>
      </c>
      <c r="G1" s="22" t="s">
        <v>6</v>
      </c>
      <c r="H1" s="22" t="s">
        <v>7</v>
      </c>
      <c r="I1" s="22" t="s">
        <v>8</v>
      </c>
      <c r="J1" s="24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401</v>
      </c>
    </row>
    <row r="2" spans="1:21" ht="15.75" hidden="1" thickTop="1" x14ac:dyDescent="0.25">
      <c r="A2" s="15">
        <v>1</v>
      </c>
      <c r="B2" s="15" t="s">
        <v>17</v>
      </c>
      <c r="C2" s="15" t="s">
        <v>18</v>
      </c>
      <c r="D2" s="15">
        <v>4</v>
      </c>
      <c r="E2" s="15" t="s">
        <v>19</v>
      </c>
      <c r="F2" s="16" t="s">
        <v>20</v>
      </c>
      <c r="G2" s="17">
        <v>17.920000000000002</v>
      </c>
      <c r="H2" s="17">
        <f t="shared" ref="H2:H33" si="0">G2*D2</f>
        <v>71.680000000000007</v>
      </c>
      <c r="I2" s="33">
        <f>H2*26190</f>
        <v>1877299.2000000002</v>
      </c>
      <c r="J2" s="18" t="s">
        <v>21</v>
      </c>
      <c r="K2" s="18" t="s">
        <v>22</v>
      </c>
      <c r="L2" s="19" t="s">
        <v>21</v>
      </c>
      <c r="M2" s="18" t="s">
        <v>23</v>
      </c>
      <c r="N2" s="19"/>
      <c r="O2" s="18" t="s">
        <v>24</v>
      </c>
      <c r="P2" s="18" t="s">
        <v>25</v>
      </c>
      <c r="Q2" s="20" t="s">
        <v>26</v>
      </c>
      <c r="T2" s="38" t="s">
        <v>27</v>
      </c>
      <c r="U2" s="41">
        <f>SUM($H:$H)</f>
        <v>877.16074999999978</v>
      </c>
    </row>
    <row r="3" spans="1:21" ht="15.75" hidden="1" thickTop="1" x14ac:dyDescent="0.25">
      <c r="A3" s="1">
        <v>2</v>
      </c>
      <c r="B3" s="1" t="s">
        <v>28</v>
      </c>
      <c r="C3" s="1" t="s">
        <v>29</v>
      </c>
      <c r="D3" s="1">
        <v>4</v>
      </c>
      <c r="E3" s="1" t="s">
        <v>30</v>
      </c>
      <c r="F3" s="3" t="s">
        <v>31</v>
      </c>
      <c r="G3" s="2">
        <v>34.64</v>
      </c>
      <c r="H3" s="2">
        <f t="shared" si="0"/>
        <v>138.56</v>
      </c>
      <c r="I3" s="34">
        <f t="shared" ref="I3:I5" si="1">H3*26190</f>
        <v>3628886.4</v>
      </c>
      <c r="J3" s="13" t="s">
        <v>21</v>
      </c>
      <c r="K3" s="13" t="s">
        <v>22</v>
      </c>
      <c r="L3" s="11" t="s">
        <v>21</v>
      </c>
      <c r="M3" s="13" t="s">
        <v>32</v>
      </c>
      <c r="N3" s="11"/>
      <c r="O3" s="13" t="s">
        <v>24</v>
      </c>
      <c r="P3" s="13" t="s">
        <v>25</v>
      </c>
      <c r="Q3" s="12" t="s">
        <v>26</v>
      </c>
      <c r="T3" s="39" t="s">
        <v>33</v>
      </c>
      <c r="U3" s="40">
        <f>SUM($I:$I)</f>
        <v>22972840.0425</v>
      </c>
    </row>
    <row r="4" spans="1:21" ht="15.75" hidden="1" thickTop="1" x14ac:dyDescent="0.25">
      <c r="A4" s="1">
        <v>3</v>
      </c>
      <c r="B4" s="1" t="s">
        <v>34</v>
      </c>
      <c r="C4" s="1" t="s">
        <v>35</v>
      </c>
      <c r="D4" s="1">
        <v>2</v>
      </c>
      <c r="E4" s="1" t="s">
        <v>36</v>
      </c>
      <c r="F4" s="3" t="s">
        <v>37</v>
      </c>
      <c r="G4" s="2">
        <v>6.69</v>
      </c>
      <c r="H4" s="2">
        <f t="shared" si="0"/>
        <v>13.38</v>
      </c>
      <c r="I4" s="34">
        <f t="shared" si="1"/>
        <v>350422.2</v>
      </c>
      <c r="J4" s="13" t="s">
        <v>21</v>
      </c>
      <c r="K4" s="13" t="s">
        <v>22</v>
      </c>
      <c r="L4" s="13"/>
      <c r="M4" s="13" t="s">
        <v>38</v>
      </c>
      <c r="N4" s="11"/>
      <c r="O4" s="13" t="s">
        <v>39</v>
      </c>
      <c r="P4" s="13" t="s">
        <v>25</v>
      </c>
      <c r="Q4" s="12" t="s">
        <v>26</v>
      </c>
      <c r="T4" s="38" t="s">
        <v>40</v>
      </c>
      <c r="U4" s="42">
        <f>$U$2*31.63</f>
        <v>27744.594522499992</v>
      </c>
    </row>
    <row r="5" spans="1:21" ht="15.75" hidden="1" thickTop="1" x14ac:dyDescent="0.25">
      <c r="A5" s="1">
        <v>4</v>
      </c>
      <c r="B5" s="1" t="s">
        <v>41</v>
      </c>
      <c r="C5" s="1" t="s">
        <v>42</v>
      </c>
      <c r="D5" s="1">
        <v>4</v>
      </c>
      <c r="E5" s="1" t="s">
        <v>43</v>
      </c>
      <c r="F5" s="3" t="s">
        <v>44</v>
      </c>
      <c r="G5" s="2">
        <v>5.18</v>
      </c>
      <c r="H5" s="2">
        <f t="shared" si="0"/>
        <v>20.72</v>
      </c>
      <c r="I5" s="34">
        <f t="shared" si="1"/>
        <v>542656.79999999993</v>
      </c>
      <c r="J5" s="13" t="s">
        <v>21</v>
      </c>
      <c r="K5" s="13" t="s">
        <v>22</v>
      </c>
      <c r="L5" s="11" t="s">
        <v>21</v>
      </c>
      <c r="M5" s="13" t="s">
        <v>45</v>
      </c>
      <c r="N5" s="11"/>
      <c r="O5" s="13" t="s">
        <v>24</v>
      </c>
      <c r="P5" s="13" t="s">
        <v>46</v>
      </c>
      <c r="Q5" s="12" t="s">
        <v>26</v>
      </c>
    </row>
    <row r="6" spans="1:21" ht="15.75" hidden="1" thickTop="1" x14ac:dyDescent="0.25">
      <c r="A6" s="1">
        <v>5</v>
      </c>
      <c r="B6" s="1" t="s">
        <v>47</v>
      </c>
      <c r="C6" s="1" t="s">
        <v>48</v>
      </c>
      <c r="D6" s="1">
        <v>25</v>
      </c>
      <c r="E6" s="1" t="s">
        <v>49</v>
      </c>
      <c r="F6" s="3" t="s">
        <v>50</v>
      </c>
      <c r="G6" s="2">
        <v>0.23</v>
      </c>
      <c r="H6" s="2">
        <f t="shared" si="0"/>
        <v>5.75</v>
      </c>
      <c r="I6" s="34">
        <f>H6*26190</f>
        <v>150592.5</v>
      </c>
      <c r="J6" s="13" t="s">
        <v>51</v>
      </c>
      <c r="K6" s="13" t="s">
        <v>52</v>
      </c>
      <c r="L6" s="31">
        <v>1E-3</v>
      </c>
      <c r="M6" s="25" t="s">
        <v>53</v>
      </c>
      <c r="N6" s="26"/>
      <c r="O6" s="13" t="s">
        <v>54</v>
      </c>
      <c r="P6" s="13" t="s">
        <v>25</v>
      </c>
      <c r="Q6" s="12" t="s">
        <v>26</v>
      </c>
    </row>
    <row r="7" spans="1:21" ht="15.75" hidden="1" thickTop="1" x14ac:dyDescent="0.25">
      <c r="A7" s="1">
        <v>6</v>
      </c>
      <c r="B7" s="1" t="s">
        <v>55</v>
      </c>
      <c r="C7" s="1" t="s">
        <v>56</v>
      </c>
      <c r="D7" s="1">
        <v>25</v>
      </c>
      <c r="E7" s="1" t="s">
        <v>57</v>
      </c>
      <c r="F7" s="3" t="s">
        <v>58</v>
      </c>
      <c r="G7" s="2">
        <v>0.23</v>
      </c>
      <c r="H7" s="2">
        <f t="shared" si="0"/>
        <v>5.75</v>
      </c>
      <c r="I7" s="34">
        <f t="shared" ref="I7:I40" si="2">H7*26190</f>
        <v>150592.5</v>
      </c>
      <c r="J7" s="13">
        <v>200</v>
      </c>
      <c r="K7" s="13" t="s">
        <v>52</v>
      </c>
      <c r="L7" s="31">
        <v>1E-3</v>
      </c>
      <c r="M7" s="25" t="s">
        <v>53</v>
      </c>
      <c r="N7" s="26"/>
      <c r="O7" s="13" t="s">
        <v>54</v>
      </c>
      <c r="P7" s="13" t="s">
        <v>25</v>
      </c>
      <c r="Q7" s="12" t="s">
        <v>26</v>
      </c>
    </row>
    <row r="8" spans="1:21" ht="15.75" hidden="1" thickTop="1" x14ac:dyDescent="0.25">
      <c r="A8" s="1">
        <v>7</v>
      </c>
      <c r="B8" s="1" t="s">
        <v>59</v>
      </c>
      <c r="C8" s="1" t="s">
        <v>60</v>
      </c>
      <c r="D8" s="1">
        <v>25</v>
      </c>
      <c r="E8" s="1" t="s">
        <v>61</v>
      </c>
      <c r="F8" s="3" t="s">
        <v>62</v>
      </c>
      <c r="G8" s="2">
        <v>0.23</v>
      </c>
      <c r="H8" s="2">
        <f t="shared" si="0"/>
        <v>5.75</v>
      </c>
      <c r="I8" s="34">
        <f t="shared" si="2"/>
        <v>150592.5</v>
      </c>
      <c r="J8" s="13">
        <v>280</v>
      </c>
      <c r="K8" s="13" t="s">
        <v>52</v>
      </c>
      <c r="L8" s="31">
        <v>1E-3</v>
      </c>
      <c r="M8" s="25" t="s">
        <v>53</v>
      </c>
      <c r="N8" s="26"/>
      <c r="O8" s="13" t="s">
        <v>54</v>
      </c>
      <c r="P8" s="13" t="s">
        <v>25</v>
      </c>
      <c r="Q8" s="12" t="s">
        <v>26</v>
      </c>
    </row>
    <row r="9" spans="1:21" ht="15.75" hidden="1" thickTop="1" x14ac:dyDescent="0.25">
      <c r="A9" s="1">
        <v>8</v>
      </c>
      <c r="B9" s="1" t="s">
        <v>63</v>
      </c>
      <c r="C9" s="1" t="s">
        <v>64</v>
      </c>
      <c r="D9" s="1">
        <v>25</v>
      </c>
      <c r="E9" s="1" t="s">
        <v>65</v>
      </c>
      <c r="F9" s="3" t="s">
        <v>66</v>
      </c>
      <c r="G9" s="2">
        <v>0.23</v>
      </c>
      <c r="H9" s="2">
        <f t="shared" si="0"/>
        <v>5.75</v>
      </c>
      <c r="I9" s="34">
        <f t="shared" si="2"/>
        <v>150592.5</v>
      </c>
      <c r="J9" s="13" t="s">
        <v>67</v>
      </c>
      <c r="K9" s="13" t="s">
        <v>52</v>
      </c>
      <c r="L9" s="31">
        <v>1E-3</v>
      </c>
      <c r="M9" s="25" t="s">
        <v>53</v>
      </c>
      <c r="N9" s="26"/>
      <c r="O9" s="13" t="s">
        <v>54</v>
      </c>
      <c r="P9" s="13" t="s">
        <v>25</v>
      </c>
      <c r="Q9" s="12" t="s">
        <v>26</v>
      </c>
    </row>
    <row r="10" spans="1:21" ht="15.75" hidden="1" thickTop="1" x14ac:dyDescent="0.25">
      <c r="A10" s="1">
        <v>9</v>
      </c>
      <c r="B10" s="1" t="s">
        <v>68</v>
      </c>
      <c r="C10" s="1" t="s">
        <v>69</v>
      </c>
      <c r="D10" s="1">
        <v>25</v>
      </c>
      <c r="E10" s="1" t="s">
        <v>70</v>
      </c>
      <c r="F10" s="3" t="s">
        <v>71</v>
      </c>
      <c r="G10" s="2">
        <v>0.1</v>
      </c>
      <c r="H10" s="2">
        <f t="shared" si="0"/>
        <v>2.5</v>
      </c>
      <c r="I10" s="34">
        <f t="shared" si="2"/>
        <v>65475</v>
      </c>
      <c r="J10" s="13">
        <v>22</v>
      </c>
      <c r="K10" s="13" t="s">
        <v>52</v>
      </c>
      <c r="L10" s="32">
        <v>0.01</v>
      </c>
      <c r="M10" s="25" t="s">
        <v>53</v>
      </c>
      <c r="N10" s="26"/>
      <c r="O10" s="13" t="s">
        <v>54</v>
      </c>
      <c r="P10" s="13" t="s">
        <v>25</v>
      </c>
      <c r="Q10" s="12" t="s">
        <v>26</v>
      </c>
    </row>
    <row r="11" spans="1:21" ht="15.75" hidden="1" thickTop="1" x14ac:dyDescent="0.25">
      <c r="A11" s="1">
        <v>10</v>
      </c>
      <c r="B11" s="1" t="s">
        <v>72</v>
      </c>
      <c r="C11" s="1" t="s">
        <v>72</v>
      </c>
      <c r="D11" s="1">
        <v>25</v>
      </c>
      <c r="E11" s="1" t="s">
        <v>73</v>
      </c>
      <c r="F11" s="3" t="s">
        <v>74</v>
      </c>
      <c r="G11" s="2">
        <v>0.1</v>
      </c>
      <c r="H11" s="2">
        <f t="shared" si="0"/>
        <v>2.5</v>
      </c>
      <c r="I11" s="34">
        <f t="shared" si="2"/>
        <v>65475</v>
      </c>
      <c r="J11" s="13">
        <v>0</v>
      </c>
      <c r="K11" s="13" t="s">
        <v>52</v>
      </c>
      <c r="L11" s="13"/>
      <c r="M11" s="25" t="s">
        <v>53</v>
      </c>
      <c r="N11" s="26"/>
      <c r="O11" s="13" t="s">
        <v>54</v>
      </c>
      <c r="P11" s="13" t="s">
        <v>25</v>
      </c>
      <c r="Q11" s="12" t="s">
        <v>26</v>
      </c>
    </row>
    <row r="12" spans="1:21" ht="15.75" hidden="1" thickTop="1" x14ac:dyDescent="0.25">
      <c r="A12" s="1">
        <v>11</v>
      </c>
      <c r="B12" s="1" t="s">
        <v>75</v>
      </c>
      <c r="C12" s="1" t="s">
        <v>76</v>
      </c>
      <c r="D12" s="1">
        <v>25</v>
      </c>
      <c r="E12" s="1" t="s">
        <v>77</v>
      </c>
      <c r="F12" s="3" t="s">
        <v>78</v>
      </c>
      <c r="G12" s="2">
        <v>0.23</v>
      </c>
      <c r="H12" s="2">
        <f t="shared" si="0"/>
        <v>5.75</v>
      </c>
      <c r="I12" s="34">
        <f t="shared" si="2"/>
        <v>150592.5</v>
      </c>
      <c r="J12" s="13">
        <v>499</v>
      </c>
      <c r="K12" s="13" t="s">
        <v>52</v>
      </c>
      <c r="L12" s="31">
        <v>1E-3</v>
      </c>
      <c r="M12" s="25" t="s">
        <v>53</v>
      </c>
      <c r="N12" s="26"/>
      <c r="O12" s="13" t="s">
        <v>54</v>
      </c>
      <c r="P12" s="13" t="s">
        <v>25</v>
      </c>
      <c r="Q12" s="12" t="s">
        <v>26</v>
      </c>
    </row>
    <row r="13" spans="1:21" ht="15.75" hidden="1" thickTop="1" x14ac:dyDescent="0.25">
      <c r="A13" s="1">
        <v>12</v>
      </c>
      <c r="B13" s="1" t="s">
        <v>79</v>
      </c>
      <c r="C13" s="1" t="s">
        <v>80</v>
      </c>
      <c r="D13" s="1">
        <v>25</v>
      </c>
      <c r="E13" s="1" t="s">
        <v>81</v>
      </c>
      <c r="F13" s="3" t="s">
        <v>82</v>
      </c>
      <c r="G13" s="2">
        <v>0.23</v>
      </c>
      <c r="H13" s="2">
        <f t="shared" si="0"/>
        <v>5.75</v>
      </c>
      <c r="I13" s="34">
        <f t="shared" si="2"/>
        <v>150592.5</v>
      </c>
      <c r="J13" s="13" t="s">
        <v>67</v>
      </c>
      <c r="K13" s="13" t="s">
        <v>52</v>
      </c>
      <c r="L13" s="31">
        <v>1E-3</v>
      </c>
      <c r="M13" s="25" t="s">
        <v>53</v>
      </c>
      <c r="N13" s="26"/>
      <c r="O13" s="13" t="s">
        <v>54</v>
      </c>
      <c r="P13" s="13" t="s">
        <v>25</v>
      </c>
      <c r="Q13" s="12" t="s">
        <v>26</v>
      </c>
    </row>
    <row r="14" spans="1:21" ht="15.75" hidden="1" thickTop="1" x14ac:dyDescent="0.25">
      <c r="A14" s="1">
        <v>13</v>
      </c>
      <c r="B14" s="1" t="s">
        <v>83</v>
      </c>
      <c r="C14" s="1" t="s">
        <v>84</v>
      </c>
      <c r="D14" s="1">
        <v>25</v>
      </c>
      <c r="E14" s="1" t="s">
        <v>85</v>
      </c>
      <c r="F14" s="5" t="s">
        <v>86</v>
      </c>
      <c r="G14" s="4">
        <v>0.1</v>
      </c>
      <c r="H14" s="2">
        <f t="shared" si="0"/>
        <v>2.5</v>
      </c>
      <c r="I14" s="35">
        <f t="shared" si="2"/>
        <v>65475</v>
      </c>
      <c r="J14" s="13">
        <v>510</v>
      </c>
      <c r="K14" s="13" t="s">
        <v>52</v>
      </c>
      <c r="L14" s="32">
        <v>0.01</v>
      </c>
      <c r="M14" s="25" t="s">
        <v>53</v>
      </c>
      <c r="N14" s="26"/>
      <c r="O14" s="13" t="s">
        <v>54</v>
      </c>
      <c r="P14" s="13" t="s">
        <v>25</v>
      </c>
      <c r="Q14" s="12" t="s">
        <v>26</v>
      </c>
    </row>
    <row r="15" spans="1:21" ht="15.75" hidden="1" thickTop="1" x14ac:dyDescent="0.25">
      <c r="A15" s="1">
        <v>14</v>
      </c>
      <c r="B15" s="1" t="s">
        <v>87</v>
      </c>
      <c r="C15" s="1" t="s">
        <v>88</v>
      </c>
      <c r="D15" s="1">
        <v>25</v>
      </c>
      <c r="E15" s="1" t="s">
        <v>89</v>
      </c>
      <c r="F15" s="5" t="s">
        <v>90</v>
      </c>
      <c r="G15" s="4">
        <v>2E-3</v>
      </c>
      <c r="H15" s="2">
        <f t="shared" si="0"/>
        <v>0.05</v>
      </c>
      <c r="I15" s="35">
        <f t="shared" si="2"/>
        <v>1309.5</v>
      </c>
      <c r="J15" s="13" t="s">
        <v>91</v>
      </c>
      <c r="K15" s="13" t="s">
        <v>52</v>
      </c>
      <c r="L15" s="32">
        <v>0.01</v>
      </c>
      <c r="M15" s="25" t="s">
        <v>53</v>
      </c>
      <c r="N15" s="26"/>
      <c r="O15" s="13" t="s">
        <v>54</v>
      </c>
      <c r="P15" s="13" t="s">
        <v>25</v>
      </c>
      <c r="Q15" s="12" t="s">
        <v>26</v>
      </c>
    </row>
    <row r="16" spans="1:21" ht="15.75" hidden="1" thickTop="1" x14ac:dyDescent="0.25">
      <c r="A16" s="1">
        <v>15</v>
      </c>
      <c r="B16" s="1" t="s">
        <v>92</v>
      </c>
      <c r="C16" s="1" t="s">
        <v>93</v>
      </c>
      <c r="D16" s="1">
        <v>25</v>
      </c>
      <c r="E16" s="1" t="s">
        <v>94</v>
      </c>
      <c r="F16" s="5" t="s">
        <v>95</v>
      </c>
      <c r="G16" s="4">
        <v>0.1</v>
      </c>
      <c r="H16" s="2">
        <f t="shared" si="0"/>
        <v>2.5</v>
      </c>
      <c r="I16" s="35">
        <f t="shared" si="2"/>
        <v>65475</v>
      </c>
      <c r="J16" s="13">
        <v>51</v>
      </c>
      <c r="K16" s="13" t="s">
        <v>52</v>
      </c>
      <c r="L16" s="32">
        <v>0.01</v>
      </c>
      <c r="M16" s="25" t="s">
        <v>53</v>
      </c>
      <c r="N16" s="26"/>
      <c r="O16" s="13" t="s">
        <v>54</v>
      </c>
      <c r="P16" s="13" t="s">
        <v>25</v>
      </c>
      <c r="Q16" s="12" t="s">
        <v>26</v>
      </c>
    </row>
    <row r="17" spans="1:18" ht="15.75" hidden="1" thickTop="1" x14ac:dyDescent="0.25">
      <c r="A17" s="1">
        <v>16</v>
      </c>
      <c r="B17" s="1" t="s">
        <v>96</v>
      </c>
      <c r="C17" s="1" t="s">
        <v>97</v>
      </c>
      <c r="D17" s="1">
        <v>25</v>
      </c>
      <c r="E17" s="6" t="s">
        <v>98</v>
      </c>
      <c r="F17" s="5" t="s">
        <v>99</v>
      </c>
      <c r="G17" s="4">
        <v>0.1</v>
      </c>
      <c r="H17" s="2">
        <f t="shared" si="0"/>
        <v>2.5</v>
      </c>
      <c r="I17" s="35">
        <f t="shared" si="2"/>
        <v>65475</v>
      </c>
      <c r="J17" s="13" t="s">
        <v>100</v>
      </c>
      <c r="K17" s="13" t="s">
        <v>52</v>
      </c>
      <c r="L17" s="32">
        <v>0.01</v>
      </c>
      <c r="M17" s="25" t="s">
        <v>53</v>
      </c>
      <c r="N17" s="26"/>
      <c r="O17" s="13" t="s">
        <v>54</v>
      </c>
      <c r="P17" s="13" t="s">
        <v>25</v>
      </c>
      <c r="Q17" s="12" t="s">
        <v>26</v>
      </c>
    </row>
    <row r="18" spans="1:18" ht="15.75" hidden="1" thickTop="1" x14ac:dyDescent="0.25">
      <c r="A18" s="1">
        <v>17</v>
      </c>
      <c r="B18" s="1" t="s">
        <v>101</v>
      </c>
      <c r="C18" s="1" t="s">
        <v>102</v>
      </c>
      <c r="D18" s="1">
        <v>25</v>
      </c>
      <c r="E18" s="6" t="s">
        <v>103</v>
      </c>
      <c r="F18" s="5" t="s">
        <v>104</v>
      </c>
      <c r="G18" s="4">
        <v>0.31</v>
      </c>
      <c r="H18" s="2">
        <f t="shared" si="0"/>
        <v>7.75</v>
      </c>
      <c r="I18" s="35">
        <f t="shared" si="2"/>
        <v>202972.5</v>
      </c>
      <c r="J18" s="13">
        <v>10</v>
      </c>
      <c r="K18" s="13" t="s">
        <v>52</v>
      </c>
      <c r="L18" s="31">
        <v>1E-3</v>
      </c>
      <c r="M18" s="25" t="s">
        <v>53</v>
      </c>
      <c r="N18" s="26"/>
      <c r="O18" s="13" t="s">
        <v>54</v>
      </c>
      <c r="P18" s="13" t="s">
        <v>25</v>
      </c>
      <c r="Q18" s="12" t="s">
        <v>26</v>
      </c>
    </row>
    <row r="19" spans="1:18" ht="15.75" thickTop="1" x14ac:dyDescent="0.25">
      <c r="A19" s="1">
        <v>18</v>
      </c>
      <c r="B19" s="1" t="s">
        <v>105</v>
      </c>
      <c r="C19" s="1" t="s">
        <v>106</v>
      </c>
      <c r="D19" s="1">
        <v>25</v>
      </c>
      <c r="E19" s="1" t="s">
        <v>107</v>
      </c>
      <c r="F19" s="5" t="s">
        <v>108</v>
      </c>
      <c r="G19" s="4">
        <v>0.12</v>
      </c>
      <c r="H19" s="2">
        <f t="shared" si="0"/>
        <v>3</v>
      </c>
      <c r="I19" s="35">
        <f t="shared" si="2"/>
        <v>78570</v>
      </c>
      <c r="J19" s="13" t="s">
        <v>109</v>
      </c>
      <c r="K19" s="13" t="s">
        <v>110</v>
      </c>
      <c r="L19" s="13"/>
      <c r="M19" s="25" t="s">
        <v>53</v>
      </c>
      <c r="N19" s="26"/>
      <c r="O19" s="13" t="s">
        <v>111</v>
      </c>
      <c r="P19" s="13" t="s">
        <v>25</v>
      </c>
      <c r="Q19" s="12" t="s">
        <v>26</v>
      </c>
    </row>
    <row r="20" spans="1:18" x14ac:dyDescent="0.25">
      <c r="A20" s="1">
        <v>19</v>
      </c>
      <c r="B20" s="1" t="s">
        <v>112</v>
      </c>
      <c r="C20" s="1" t="s">
        <v>113</v>
      </c>
      <c r="D20" s="1">
        <v>25</v>
      </c>
      <c r="E20" s="1" t="s">
        <v>114</v>
      </c>
      <c r="F20" s="5" t="s">
        <v>115</v>
      </c>
      <c r="G20" s="4">
        <v>0.08</v>
      </c>
      <c r="H20" s="2">
        <f t="shared" si="0"/>
        <v>2</v>
      </c>
      <c r="I20" s="35">
        <f t="shared" si="2"/>
        <v>52380</v>
      </c>
      <c r="J20" s="13" t="s">
        <v>116</v>
      </c>
      <c r="K20" s="13" t="s">
        <v>110</v>
      </c>
      <c r="L20" s="13"/>
      <c r="M20" s="25" t="s">
        <v>53</v>
      </c>
      <c r="N20" s="26"/>
      <c r="O20" s="13" t="s">
        <v>111</v>
      </c>
      <c r="P20" s="13" t="s">
        <v>25</v>
      </c>
      <c r="Q20" s="12" t="s">
        <v>26</v>
      </c>
    </row>
    <row r="21" spans="1:18" x14ac:dyDescent="0.25">
      <c r="A21" s="1">
        <v>20</v>
      </c>
      <c r="B21" s="1" t="s">
        <v>117</v>
      </c>
      <c r="C21" s="1" t="s">
        <v>118</v>
      </c>
      <c r="D21" s="1">
        <v>25</v>
      </c>
      <c r="E21" s="1" t="s">
        <v>119</v>
      </c>
      <c r="F21" s="5" t="s">
        <v>120</v>
      </c>
      <c r="G21" s="4">
        <v>0.41</v>
      </c>
      <c r="H21" s="2">
        <f t="shared" si="0"/>
        <v>10.25</v>
      </c>
      <c r="I21" s="35">
        <f t="shared" si="2"/>
        <v>268447.5</v>
      </c>
      <c r="J21" s="13" t="s">
        <v>121</v>
      </c>
      <c r="K21" s="13" t="s">
        <v>110</v>
      </c>
      <c r="L21" s="13"/>
      <c r="M21" s="25" t="s">
        <v>53</v>
      </c>
      <c r="N21" s="26"/>
      <c r="O21" s="13" t="s">
        <v>111</v>
      </c>
      <c r="P21" s="13" t="s">
        <v>25</v>
      </c>
      <c r="Q21" s="12" t="s">
        <v>26</v>
      </c>
    </row>
    <row r="22" spans="1:18" x14ac:dyDescent="0.25">
      <c r="A22" s="1">
        <v>21</v>
      </c>
      <c r="B22" s="1" t="s">
        <v>122</v>
      </c>
      <c r="C22" s="1" t="s">
        <v>123</v>
      </c>
      <c r="D22" s="1">
        <v>25</v>
      </c>
      <c r="E22" s="1" t="s">
        <v>124</v>
      </c>
      <c r="F22" s="3" t="s">
        <v>125</v>
      </c>
      <c r="G22" s="2">
        <v>1.4800000000000001E-2</v>
      </c>
      <c r="H22" s="2">
        <f t="shared" si="0"/>
        <v>0.37</v>
      </c>
      <c r="I22" s="34">
        <f t="shared" si="2"/>
        <v>9690.2999999999993</v>
      </c>
      <c r="J22" s="13" t="s">
        <v>126</v>
      </c>
      <c r="K22" s="13" t="s">
        <v>110</v>
      </c>
      <c r="L22" s="13"/>
      <c r="M22" s="27" t="s">
        <v>127</v>
      </c>
      <c r="N22" s="26"/>
      <c r="O22" s="13" t="s">
        <v>111</v>
      </c>
      <c r="P22" s="13" t="s">
        <v>25</v>
      </c>
      <c r="Q22" s="12" t="s">
        <v>26</v>
      </c>
    </row>
    <row r="23" spans="1:18" x14ac:dyDescent="0.25">
      <c r="A23" s="1">
        <v>22</v>
      </c>
      <c r="B23" s="1" t="s">
        <v>128</v>
      </c>
      <c r="C23" s="1" t="s">
        <v>129</v>
      </c>
      <c r="D23" s="1">
        <v>25</v>
      </c>
      <c r="E23" s="1" t="s">
        <v>130</v>
      </c>
      <c r="F23" s="3" t="s">
        <v>131</v>
      </c>
      <c r="G23" s="2">
        <v>2.5000000000000001E-2</v>
      </c>
      <c r="H23" s="2">
        <f t="shared" si="0"/>
        <v>0.625</v>
      </c>
      <c r="I23" s="34">
        <f t="shared" si="2"/>
        <v>16368.75</v>
      </c>
      <c r="J23" s="13" t="s">
        <v>132</v>
      </c>
      <c r="K23" s="13" t="s">
        <v>110</v>
      </c>
      <c r="L23" s="13"/>
      <c r="M23" s="27" t="s">
        <v>133</v>
      </c>
      <c r="N23" s="26"/>
      <c r="O23" s="13" t="s">
        <v>111</v>
      </c>
      <c r="P23" s="13" t="s">
        <v>25</v>
      </c>
      <c r="Q23" s="12" t="s">
        <v>26</v>
      </c>
    </row>
    <row r="24" spans="1:18" x14ac:dyDescent="0.25">
      <c r="A24" s="1">
        <v>23</v>
      </c>
      <c r="B24" s="1" t="s">
        <v>134</v>
      </c>
      <c r="C24" s="1" t="s">
        <v>135</v>
      </c>
      <c r="D24" s="1">
        <v>25</v>
      </c>
      <c r="E24" s="1" t="s">
        <v>136</v>
      </c>
      <c r="F24" s="3" t="s">
        <v>137</v>
      </c>
      <c r="G24" s="2">
        <v>1.822E-2</v>
      </c>
      <c r="H24" s="2">
        <f t="shared" si="0"/>
        <v>0.45550000000000002</v>
      </c>
      <c r="I24" s="34">
        <f t="shared" si="2"/>
        <v>11929.545</v>
      </c>
      <c r="J24" s="13" t="s">
        <v>138</v>
      </c>
      <c r="K24" s="13" t="s">
        <v>110</v>
      </c>
      <c r="L24" s="13"/>
      <c r="M24" s="25" t="s">
        <v>53</v>
      </c>
      <c r="N24" s="26"/>
      <c r="O24" s="13" t="s">
        <v>111</v>
      </c>
      <c r="P24" s="13" t="s">
        <v>25</v>
      </c>
      <c r="Q24" s="12" t="s">
        <v>26</v>
      </c>
    </row>
    <row r="25" spans="1:18" x14ac:dyDescent="0.25">
      <c r="A25" s="1">
        <v>24</v>
      </c>
      <c r="B25" s="1" t="s">
        <v>139</v>
      </c>
      <c r="C25" s="1" t="s">
        <v>140</v>
      </c>
      <c r="D25" s="1">
        <v>25</v>
      </c>
      <c r="E25" s="1" t="s">
        <v>141</v>
      </c>
      <c r="F25" s="3" t="s">
        <v>142</v>
      </c>
      <c r="G25" s="2">
        <v>0.13</v>
      </c>
      <c r="H25" s="2">
        <f t="shared" si="0"/>
        <v>3.25</v>
      </c>
      <c r="I25" s="34">
        <f t="shared" si="2"/>
        <v>85117.5</v>
      </c>
      <c r="J25" s="13" t="s">
        <v>143</v>
      </c>
      <c r="K25" s="13" t="s">
        <v>110</v>
      </c>
      <c r="L25" s="13"/>
      <c r="M25" s="25" t="s">
        <v>53</v>
      </c>
      <c r="N25" s="26"/>
      <c r="O25" s="13" t="s">
        <v>111</v>
      </c>
      <c r="P25" s="13" t="s">
        <v>25</v>
      </c>
      <c r="Q25" s="12" t="s">
        <v>26</v>
      </c>
    </row>
    <row r="26" spans="1:18" x14ac:dyDescent="0.25">
      <c r="A26" s="1">
        <v>25</v>
      </c>
      <c r="B26" s="1" t="s">
        <v>144</v>
      </c>
      <c r="C26" s="1" t="s">
        <v>145</v>
      </c>
      <c r="D26" s="1">
        <v>25</v>
      </c>
      <c r="E26" s="1" t="s">
        <v>146</v>
      </c>
      <c r="F26" s="3" t="s">
        <v>147</v>
      </c>
      <c r="G26" s="2">
        <v>0.11</v>
      </c>
      <c r="H26" s="2">
        <f t="shared" si="0"/>
        <v>2.75</v>
      </c>
      <c r="I26" s="34">
        <f t="shared" si="2"/>
        <v>72022.5</v>
      </c>
      <c r="J26" s="13" t="s">
        <v>148</v>
      </c>
      <c r="K26" s="13" t="s">
        <v>110</v>
      </c>
      <c r="L26" s="13"/>
      <c r="M26" s="25" t="s">
        <v>53</v>
      </c>
      <c r="N26" s="26"/>
      <c r="O26" s="13" t="s">
        <v>111</v>
      </c>
      <c r="P26" s="13" t="s">
        <v>25</v>
      </c>
      <c r="Q26" s="12" t="s">
        <v>26</v>
      </c>
      <c r="R26" s="43"/>
    </row>
    <row r="27" spans="1:18" x14ac:dyDescent="0.25">
      <c r="A27" s="1">
        <v>26</v>
      </c>
      <c r="B27" s="1" t="s">
        <v>149</v>
      </c>
      <c r="C27" s="1" t="s">
        <v>150</v>
      </c>
      <c r="D27" s="1">
        <v>25</v>
      </c>
      <c r="E27" s="1" t="s">
        <v>151</v>
      </c>
      <c r="F27" s="3" t="s">
        <v>152</v>
      </c>
      <c r="G27" s="2">
        <v>2.5010000000000001E-2</v>
      </c>
      <c r="H27" s="2">
        <f t="shared" si="0"/>
        <v>0.62524999999999997</v>
      </c>
      <c r="I27" s="34">
        <f t="shared" si="2"/>
        <v>16375.297499999999</v>
      </c>
      <c r="J27" s="13" t="s">
        <v>153</v>
      </c>
      <c r="K27" s="13" t="s">
        <v>110</v>
      </c>
      <c r="L27" s="13"/>
      <c r="M27" s="25" t="s">
        <v>53</v>
      </c>
      <c r="N27" s="26"/>
      <c r="O27" s="13" t="s">
        <v>111</v>
      </c>
      <c r="P27" s="13" t="s">
        <v>25</v>
      </c>
      <c r="Q27" s="12" t="s">
        <v>26</v>
      </c>
      <c r="R27" s="43"/>
    </row>
    <row r="28" spans="1:18" x14ac:dyDescent="0.25">
      <c r="A28" s="1">
        <v>27</v>
      </c>
      <c r="B28" s="1" t="s">
        <v>154</v>
      </c>
      <c r="C28" s="1" t="s">
        <v>155</v>
      </c>
      <c r="D28" s="1">
        <v>25</v>
      </c>
      <c r="E28" s="1" t="s">
        <v>156</v>
      </c>
      <c r="F28" s="3" t="s">
        <v>157</v>
      </c>
      <c r="G28" s="2">
        <v>0.12</v>
      </c>
      <c r="H28" s="2">
        <f t="shared" si="0"/>
        <v>3</v>
      </c>
      <c r="I28" s="34">
        <f t="shared" si="2"/>
        <v>78570</v>
      </c>
      <c r="J28" s="13" t="s">
        <v>158</v>
      </c>
      <c r="K28" s="13" t="s">
        <v>110</v>
      </c>
      <c r="L28" s="13"/>
      <c r="M28" s="25" t="s">
        <v>53</v>
      </c>
      <c r="N28" s="26"/>
      <c r="O28" s="13" t="s">
        <v>111</v>
      </c>
      <c r="P28" s="13" t="s">
        <v>25</v>
      </c>
      <c r="Q28" s="12" t="s">
        <v>26</v>
      </c>
    </row>
    <row r="29" spans="1:18" x14ac:dyDescent="0.25">
      <c r="A29" s="1">
        <v>28</v>
      </c>
      <c r="B29" s="1" t="s">
        <v>159</v>
      </c>
      <c r="C29" s="1" t="s">
        <v>160</v>
      </c>
      <c r="D29" s="1">
        <v>25</v>
      </c>
      <c r="E29" s="1" t="s">
        <v>161</v>
      </c>
      <c r="F29" s="3" t="s">
        <v>162</v>
      </c>
      <c r="G29" s="2">
        <v>0.14000000000000001</v>
      </c>
      <c r="H29" s="2">
        <f t="shared" si="0"/>
        <v>3.5000000000000004</v>
      </c>
      <c r="I29" s="34">
        <f t="shared" si="2"/>
        <v>91665.000000000015</v>
      </c>
      <c r="J29" s="13" t="s">
        <v>116</v>
      </c>
      <c r="K29" s="13" t="s">
        <v>110</v>
      </c>
      <c r="L29" s="13"/>
      <c r="M29" s="25" t="s">
        <v>53</v>
      </c>
      <c r="N29" s="26"/>
      <c r="O29" s="13" t="s">
        <v>111</v>
      </c>
      <c r="P29" s="13" t="s">
        <v>25</v>
      </c>
      <c r="Q29" s="12" t="s">
        <v>26</v>
      </c>
    </row>
    <row r="30" spans="1:18" x14ac:dyDescent="0.25">
      <c r="A30" s="1">
        <v>29</v>
      </c>
      <c r="B30" s="1" t="s">
        <v>163</v>
      </c>
      <c r="C30" s="1" t="s">
        <v>164</v>
      </c>
      <c r="D30" s="1">
        <v>25</v>
      </c>
      <c r="E30" s="1" t="s">
        <v>165</v>
      </c>
      <c r="F30" s="3" t="s">
        <v>166</v>
      </c>
      <c r="G30" s="2">
        <v>0.1</v>
      </c>
      <c r="H30" s="2">
        <f t="shared" si="0"/>
        <v>2.5</v>
      </c>
      <c r="I30" s="34">
        <f t="shared" si="2"/>
        <v>65475</v>
      </c>
      <c r="J30" s="13" t="s">
        <v>167</v>
      </c>
      <c r="K30" s="13" t="s">
        <v>110</v>
      </c>
      <c r="L30" s="13"/>
      <c r="M30" s="25" t="s">
        <v>53</v>
      </c>
      <c r="N30" s="26"/>
      <c r="O30" s="13" t="s">
        <v>111</v>
      </c>
      <c r="P30" s="13" t="s">
        <v>25</v>
      </c>
      <c r="Q30" s="12" t="s">
        <v>26</v>
      </c>
    </row>
    <row r="31" spans="1:18" hidden="1" x14ac:dyDescent="0.25">
      <c r="A31" s="1">
        <v>30</v>
      </c>
      <c r="B31" s="7" t="s">
        <v>168</v>
      </c>
      <c r="C31" s="7" t="s">
        <v>169</v>
      </c>
      <c r="D31" s="7">
        <v>25</v>
      </c>
      <c r="E31" s="7" t="s">
        <v>170</v>
      </c>
      <c r="F31" s="9" t="s">
        <v>171</v>
      </c>
      <c r="G31" s="8">
        <v>0.1</v>
      </c>
      <c r="H31" s="4">
        <f t="shared" si="0"/>
        <v>2.5</v>
      </c>
      <c r="I31" s="36">
        <f t="shared" si="2"/>
        <v>65475</v>
      </c>
      <c r="J31" s="10">
        <v>49.9</v>
      </c>
      <c r="K31" s="10" t="s">
        <v>52</v>
      </c>
      <c r="L31" s="31">
        <v>0.01</v>
      </c>
      <c r="M31" s="25" t="s">
        <v>53</v>
      </c>
      <c r="N31" s="26"/>
      <c r="O31" s="10" t="s">
        <v>54</v>
      </c>
      <c r="P31" s="13" t="s">
        <v>25</v>
      </c>
      <c r="Q31" s="12" t="s">
        <v>26</v>
      </c>
    </row>
    <row r="32" spans="1:18" hidden="1" x14ac:dyDescent="0.25">
      <c r="A32" s="1">
        <v>31</v>
      </c>
      <c r="B32" s="7" t="s">
        <v>172</v>
      </c>
      <c r="C32" s="7" t="s">
        <v>173</v>
      </c>
      <c r="D32" s="7">
        <v>4</v>
      </c>
      <c r="E32" s="7" t="s">
        <v>174</v>
      </c>
      <c r="F32" s="9" t="s">
        <v>175</v>
      </c>
      <c r="G32" s="8">
        <v>4.59</v>
      </c>
      <c r="H32" s="4">
        <f t="shared" si="0"/>
        <v>18.36</v>
      </c>
      <c r="I32" s="36">
        <f t="shared" si="2"/>
        <v>480848.39999999997</v>
      </c>
      <c r="J32" s="10" t="s">
        <v>21</v>
      </c>
      <c r="K32" s="13" t="s">
        <v>22</v>
      </c>
      <c r="L32" s="31" t="s">
        <v>21</v>
      </c>
      <c r="M32" s="10" t="s">
        <v>176</v>
      </c>
      <c r="N32" s="10"/>
      <c r="O32" s="10" t="s">
        <v>24</v>
      </c>
      <c r="P32" s="13" t="s">
        <v>25</v>
      </c>
      <c r="Q32" s="12" t="s">
        <v>26</v>
      </c>
    </row>
    <row r="33" spans="1:17" hidden="1" x14ac:dyDescent="0.25">
      <c r="A33" s="1">
        <v>32</v>
      </c>
      <c r="B33" s="7" t="s">
        <v>177</v>
      </c>
      <c r="C33" s="7" t="s">
        <v>178</v>
      </c>
      <c r="D33" s="7">
        <v>25</v>
      </c>
      <c r="E33" s="7" t="s">
        <v>179</v>
      </c>
      <c r="F33" s="9" t="s">
        <v>180</v>
      </c>
      <c r="G33" s="8">
        <v>0.11</v>
      </c>
      <c r="H33" s="4">
        <f t="shared" si="0"/>
        <v>2.75</v>
      </c>
      <c r="I33" s="36">
        <f t="shared" si="2"/>
        <v>72022.5</v>
      </c>
      <c r="J33" s="10" t="s">
        <v>181</v>
      </c>
      <c r="K33" s="10" t="s">
        <v>182</v>
      </c>
      <c r="L33" s="31"/>
      <c r="M33" s="25" t="s">
        <v>53</v>
      </c>
      <c r="N33" s="26"/>
      <c r="O33" s="10" t="s">
        <v>183</v>
      </c>
      <c r="P33" s="13" t="s">
        <v>25</v>
      </c>
      <c r="Q33" s="12" t="s">
        <v>26</v>
      </c>
    </row>
    <row r="34" spans="1:17" hidden="1" x14ac:dyDescent="0.25">
      <c r="A34" s="1">
        <v>33</v>
      </c>
      <c r="B34" s="7" t="s">
        <v>184</v>
      </c>
      <c r="C34" s="7" t="s">
        <v>185</v>
      </c>
      <c r="D34" s="7">
        <v>25</v>
      </c>
      <c r="E34" s="7" t="s">
        <v>186</v>
      </c>
      <c r="F34" s="9" t="s">
        <v>187</v>
      </c>
      <c r="G34" s="8">
        <v>0.11</v>
      </c>
      <c r="H34" s="4">
        <f t="shared" ref="H34:H65" si="3">G34*D34</f>
        <v>2.75</v>
      </c>
      <c r="I34" s="36">
        <f t="shared" si="2"/>
        <v>72022.5</v>
      </c>
      <c r="J34" s="10" t="s">
        <v>188</v>
      </c>
      <c r="K34" s="10" t="s">
        <v>182</v>
      </c>
      <c r="L34" s="31"/>
      <c r="M34" s="25" t="s">
        <v>53</v>
      </c>
      <c r="N34" s="26"/>
      <c r="O34" s="10" t="s">
        <v>183</v>
      </c>
      <c r="P34" s="13" t="s">
        <v>25</v>
      </c>
      <c r="Q34" s="12" t="s">
        <v>26</v>
      </c>
    </row>
    <row r="35" spans="1:17" hidden="1" x14ac:dyDescent="0.25">
      <c r="A35" s="1">
        <v>34</v>
      </c>
      <c r="B35" s="7" t="s">
        <v>189</v>
      </c>
      <c r="C35" s="7" t="s">
        <v>190</v>
      </c>
      <c r="D35" s="7">
        <v>25</v>
      </c>
      <c r="E35" s="7" t="s">
        <v>191</v>
      </c>
      <c r="F35" s="9" t="s">
        <v>192</v>
      </c>
      <c r="G35" s="8">
        <v>0.11</v>
      </c>
      <c r="H35" s="4">
        <f t="shared" si="3"/>
        <v>2.75</v>
      </c>
      <c r="I35" s="36">
        <f t="shared" si="2"/>
        <v>72022.5</v>
      </c>
      <c r="J35" s="10" t="s">
        <v>193</v>
      </c>
      <c r="K35" s="10" t="s">
        <v>182</v>
      </c>
      <c r="L35" s="31"/>
      <c r="M35" s="25" t="s">
        <v>53</v>
      </c>
      <c r="N35" s="26"/>
      <c r="O35" s="10" t="s">
        <v>183</v>
      </c>
      <c r="P35" s="13" t="s">
        <v>25</v>
      </c>
      <c r="Q35" s="12" t="s">
        <v>26</v>
      </c>
    </row>
    <row r="36" spans="1:17" hidden="1" x14ac:dyDescent="0.25">
      <c r="A36" s="1">
        <v>35</v>
      </c>
      <c r="B36" s="7" t="s">
        <v>194</v>
      </c>
      <c r="C36" s="7" t="s">
        <v>195</v>
      </c>
      <c r="D36" s="7">
        <v>4</v>
      </c>
      <c r="E36" s="7" t="s">
        <v>196</v>
      </c>
      <c r="F36" s="9" t="s">
        <v>197</v>
      </c>
      <c r="G36" s="8">
        <v>3.85</v>
      </c>
      <c r="H36" s="4">
        <f t="shared" si="3"/>
        <v>15.4</v>
      </c>
      <c r="I36" s="36">
        <f t="shared" si="2"/>
        <v>403326</v>
      </c>
      <c r="J36" s="10" t="s">
        <v>198</v>
      </c>
      <c r="K36" s="10" t="s">
        <v>199</v>
      </c>
      <c r="L36" s="31"/>
      <c r="M36" s="10" t="s">
        <v>200</v>
      </c>
      <c r="N36" s="10"/>
      <c r="O36" s="10" t="s">
        <v>201</v>
      </c>
      <c r="P36" s="13" t="s">
        <v>25</v>
      </c>
      <c r="Q36" s="12" t="s">
        <v>26</v>
      </c>
    </row>
    <row r="37" spans="1:17" hidden="1" x14ac:dyDescent="0.25">
      <c r="A37" s="1">
        <v>36</v>
      </c>
      <c r="B37" s="7" t="s">
        <v>202</v>
      </c>
      <c r="C37" s="7" t="s">
        <v>203</v>
      </c>
      <c r="D37" s="7">
        <v>10</v>
      </c>
      <c r="E37" s="7" t="s">
        <v>204</v>
      </c>
      <c r="F37" s="9" t="s">
        <v>205</v>
      </c>
      <c r="G37" s="8">
        <v>0.25</v>
      </c>
      <c r="H37" s="4">
        <f t="shared" si="3"/>
        <v>2.5</v>
      </c>
      <c r="I37" s="36">
        <f t="shared" si="2"/>
        <v>65475</v>
      </c>
      <c r="J37" s="10" t="s">
        <v>21</v>
      </c>
      <c r="K37" s="13" t="s">
        <v>22</v>
      </c>
      <c r="L37" s="31" t="s">
        <v>21</v>
      </c>
      <c r="M37" s="10" t="s">
        <v>206</v>
      </c>
      <c r="N37" s="10"/>
      <c r="O37" s="10" t="s">
        <v>24</v>
      </c>
      <c r="P37" s="13" t="s">
        <v>25</v>
      </c>
      <c r="Q37" s="12" t="s">
        <v>26</v>
      </c>
    </row>
    <row r="38" spans="1:17" hidden="1" x14ac:dyDescent="0.25">
      <c r="A38" s="1">
        <v>37</v>
      </c>
      <c r="B38" s="7" t="s">
        <v>207</v>
      </c>
      <c r="C38" s="7" t="s">
        <v>208</v>
      </c>
      <c r="D38" s="7">
        <v>10</v>
      </c>
      <c r="E38" s="7" t="s">
        <v>209</v>
      </c>
      <c r="F38" s="9" t="s">
        <v>210</v>
      </c>
      <c r="G38" s="8">
        <v>0.42599999999999999</v>
      </c>
      <c r="H38" s="4">
        <f t="shared" si="3"/>
        <v>4.26</v>
      </c>
      <c r="I38" s="36">
        <f t="shared" si="2"/>
        <v>111569.4</v>
      </c>
      <c r="J38" s="10" t="s">
        <v>21</v>
      </c>
      <c r="K38" s="10" t="s">
        <v>22</v>
      </c>
      <c r="L38" s="31"/>
      <c r="M38" s="28" t="s">
        <v>211</v>
      </c>
      <c r="N38" s="29"/>
      <c r="O38" s="10" t="s">
        <v>212</v>
      </c>
      <c r="P38" s="13" t="s">
        <v>25</v>
      </c>
      <c r="Q38" s="12" t="s">
        <v>26</v>
      </c>
    </row>
    <row r="39" spans="1:17" hidden="1" x14ac:dyDescent="0.25">
      <c r="A39" s="1">
        <v>38</v>
      </c>
      <c r="B39" s="7" t="s">
        <v>213</v>
      </c>
      <c r="C39" s="7" t="s">
        <v>214</v>
      </c>
      <c r="D39" s="7">
        <v>10</v>
      </c>
      <c r="E39" s="7" t="s">
        <v>215</v>
      </c>
      <c r="F39" s="9" t="s">
        <v>216</v>
      </c>
      <c r="G39" s="8">
        <v>0.25</v>
      </c>
      <c r="H39" s="4">
        <f t="shared" si="3"/>
        <v>2.5</v>
      </c>
      <c r="I39" s="36">
        <f t="shared" si="2"/>
        <v>65475</v>
      </c>
      <c r="J39" s="10"/>
      <c r="K39" s="10"/>
      <c r="L39" s="31"/>
      <c r="M39" s="10" t="s">
        <v>217</v>
      </c>
      <c r="N39" s="10"/>
      <c r="O39" s="11" t="s">
        <v>218</v>
      </c>
      <c r="P39" s="13" t="s">
        <v>25</v>
      </c>
      <c r="Q39" s="12" t="s">
        <v>26</v>
      </c>
    </row>
    <row r="40" spans="1:17" hidden="1" x14ac:dyDescent="0.25">
      <c r="A40" s="1">
        <v>39</v>
      </c>
      <c r="B40" s="7" t="s">
        <v>219</v>
      </c>
      <c r="C40" s="7" t="s">
        <v>220</v>
      </c>
      <c r="D40" s="7">
        <v>10</v>
      </c>
      <c r="E40" s="7" t="s">
        <v>221</v>
      </c>
      <c r="F40" s="5" t="s">
        <v>222</v>
      </c>
      <c r="G40" s="8">
        <v>0.42199999999999999</v>
      </c>
      <c r="H40" s="4">
        <f t="shared" si="3"/>
        <v>4.22</v>
      </c>
      <c r="I40" s="36">
        <f t="shared" si="2"/>
        <v>110521.79999999999</v>
      </c>
      <c r="J40" s="10"/>
      <c r="K40" s="10"/>
      <c r="L40" s="31"/>
      <c r="M40" s="10"/>
      <c r="N40" s="10"/>
      <c r="O40" s="11" t="s">
        <v>218</v>
      </c>
      <c r="P40" s="30" t="s">
        <v>223</v>
      </c>
      <c r="Q40" s="12" t="s">
        <v>26</v>
      </c>
    </row>
    <row r="41" spans="1:17" hidden="1" x14ac:dyDescent="0.25">
      <c r="A41" s="1">
        <v>40</v>
      </c>
      <c r="B41" s="6" t="s">
        <v>224</v>
      </c>
      <c r="C41" s="6" t="s">
        <v>225</v>
      </c>
      <c r="D41" s="6">
        <v>10</v>
      </c>
      <c r="E41" s="6" t="s">
        <v>226</v>
      </c>
      <c r="F41" s="5" t="s">
        <v>227</v>
      </c>
      <c r="G41" s="8">
        <v>0.34599999999999997</v>
      </c>
      <c r="H41" s="4">
        <f t="shared" si="3"/>
        <v>3.46</v>
      </c>
      <c r="I41" s="36">
        <f>H41*26190</f>
        <v>90617.4</v>
      </c>
      <c r="J41" s="11"/>
      <c r="K41" s="11"/>
      <c r="L41" s="31"/>
      <c r="M41" s="11"/>
      <c r="N41" s="11"/>
      <c r="O41" s="11" t="s">
        <v>218</v>
      </c>
      <c r="P41" s="13" t="s">
        <v>25</v>
      </c>
      <c r="Q41" s="12" t="s">
        <v>26</v>
      </c>
    </row>
    <row r="42" spans="1:17" x14ac:dyDescent="0.25">
      <c r="A42" s="1">
        <v>41</v>
      </c>
      <c r="B42" s="6" t="s">
        <v>228</v>
      </c>
      <c r="C42" s="6" t="s">
        <v>229</v>
      </c>
      <c r="D42" s="6">
        <v>10</v>
      </c>
      <c r="E42" s="6" t="s">
        <v>230</v>
      </c>
      <c r="F42" s="5" t="s">
        <v>231</v>
      </c>
      <c r="G42" s="8">
        <v>1</v>
      </c>
      <c r="H42" s="4">
        <f t="shared" si="3"/>
        <v>10</v>
      </c>
      <c r="I42" s="36">
        <f t="shared" ref="I42:I86" si="4">H42*26190</f>
        <v>261900</v>
      </c>
      <c r="J42" s="11" t="s">
        <v>232</v>
      </c>
      <c r="K42" s="11" t="s">
        <v>110</v>
      </c>
      <c r="L42" s="31"/>
      <c r="M42" s="27" t="s">
        <v>233</v>
      </c>
      <c r="N42" s="26"/>
      <c r="O42" s="11" t="s">
        <v>111</v>
      </c>
      <c r="P42" s="13" t="s">
        <v>25</v>
      </c>
      <c r="Q42" s="12" t="s">
        <v>26</v>
      </c>
    </row>
    <row r="43" spans="1:17" x14ac:dyDescent="0.25">
      <c r="A43" s="1">
        <v>42</v>
      </c>
      <c r="B43" s="6" t="s">
        <v>234</v>
      </c>
      <c r="C43" s="6" t="s">
        <v>113</v>
      </c>
      <c r="D43" s="6">
        <v>30</v>
      </c>
      <c r="E43" s="6" t="s">
        <v>235</v>
      </c>
      <c r="F43" s="5" t="s">
        <v>236</v>
      </c>
      <c r="G43" s="8">
        <v>0.14000000000000001</v>
      </c>
      <c r="H43" s="4">
        <f t="shared" si="3"/>
        <v>4.2</v>
      </c>
      <c r="I43" s="36">
        <f t="shared" si="4"/>
        <v>109998</v>
      </c>
      <c r="J43" s="11" t="s">
        <v>116</v>
      </c>
      <c r="K43" s="11" t="s">
        <v>110</v>
      </c>
      <c r="L43" s="31"/>
      <c r="M43" s="27" t="s">
        <v>127</v>
      </c>
      <c r="N43" s="26"/>
      <c r="O43" s="11" t="s">
        <v>111</v>
      </c>
      <c r="P43" s="13" t="s">
        <v>25</v>
      </c>
      <c r="Q43" s="12" t="s">
        <v>26</v>
      </c>
    </row>
    <row r="44" spans="1:17" hidden="1" x14ac:dyDescent="0.25">
      <c r="A44" s="1">
        <v>43</v>
      </c>
      <c r="B44" s="6" t="s">
        <v>237</v>
      </c>
      <c r="C44" s="6" t="s">
        <v>238</v>
      </c>
      <c r="D44" s="6">
        <v>4</v>
      </c>
      <c r="E44" s="6" t="s">
        <v>239</v>
      </c>
      <c r="F44" s="5" t="s">
        <v>240</v>
      </c>
      <c r="G44" s="8">
        <v>10.75</v>
      </c>
      <c r="H44" s="4">
        <f t="shared" si="3"/>
        <v>43</v>
      </c>
      <c r="I44" s="36">
        <f t="shared" si="4"/>
        <v>1126170</v>
      </c>
      <c r="J44" s="11"/>
      <c r="K44" s="13" t="s">
        <v>22</v>
      </c>
      <c r="L44" s="31" t="s">
        <v>21</v>
      </c>
      <c r="M44" s="11"/>
      <c r="N44" s="11"/>
      <c r="O44" s="11" t="s">
        <v>24</v>
      </c>
      <c r="P44" s="13" t="s">
        <v>25</v>
      </c>
      <c r="Q44" s="12" t="s">
        <v>26</v>
      </c>
    </row>
    <row r="45" spans="1:17" hidden="1" x14ac:dyDescent="0.25">
      <c r="A45" s="1">
        <v>44</v>
      </c>
      <c r="B45" s="6" t="s">
        <v>241</v>
      </c>
      <c r="C45" s="6" t="s">
        <v>242</v>
      </c>
      <c r="D45" s="6">
        <v>30</v>
      </c>
      <c r="E45" s="6" t="s">
        <v>243</v>
      </c>
      <c r="F45" s="5" t="s">
        <v>244</v>
      </c>
      <c r="G45" s="8">
        <v>0.47599999999999998</v>
      </c>
      <c r="H45" s="4">
        <f t="shared" si="3"/>
        <v>14.28</v>
      </c>
      <c r="I45" s="36">
        <f t="shared" si="4"/>
        <v>373993.2</v>
      </c>
      <c r="J45" s="11"/>
      <c r="K45" s="11"/>
      <c r="L45" s="31"/>
      <c r="M45" s="11"/>
      <c r="N45" s="11"/>
      <c r="O45" s="11" t="s">
        <v>218</v>
      </c>
      <c r="P45" s="13" t="s">
        <v>25</v>
      </c>
      <c r="Q45" s="12" t="s">
        <v>26</v>
      </c>
    </row>
    <row r="46" spans="1:17" hidden="1" x14ac:dyDescent="0.25">
      <c r="A46" s="1">
        <v>45</v>
      </c>
      <c r="B46" s="6" t="s">
        <v>245</v>
      </c>
      <c r="C46" s="6" t="s">
        <v>246</v>
      </c>
      <c r="D46" s="6">
        <v>30</v>
      </c>
      <c r="E46" s="6" t="s">
        <v>247</v>
      </c>
      <c r="F46" s="5" t="s">
        <v>248</v>
      </c>
      <c r="G46" s="8">
        <v>0.24</v>
      </c>
      <c r="H46" s="4">
        <f t="shared" si="3"/>
        <v>7.1999999999999993</v>
      </c>
      <c r="I46" s="36">
        <f t="shared" si="4"/>
        <v>188567.99999999997</v>
      </c>
      <c r="J46" s="11">
        <v>604</v>
      </c>
      <c r="K46" s="11" t="s">
        <v>52</v>
      </c>
      <c r="L46" s="31"/>
      <c r="M46" s="25" t="s">
        <v>53</v>
      </c>
      <c r="N46" s="26"/>
      <c r="O46" s="11" t="s">
        <v>54</v>
      </c>
      <c r="P46" s="13" t="s">
        <v>25</v>
      </c>
      <c r="Q46" s="12" t="s">
        <v>26</v>
      </c>
    </row>
    <row r="47" spans="1:17" hidden="1" x14ac:dyDescent="0.25">
      <c r="A47" s="1">
        <v>46</v>
      </c>
      <c r="B47" s="6" t="s">
        <v>249</v>
      </c>
      <c r="C47" s="6" t="s">
        <v>250</v>
      </c>
      <c r="D47" s="6">
        <v>30</v>
      </c>
      <c r="E47" s="6" t="s">
        <v>251</v>
      </c>
      <c r="F47" s="5" t="s">
        <v>252</v>
      </c>
      <c r="G47" s="8">
        <v>0.1</v>
      </c>
      <c r="H47" s="4">
        <f t="shared" si="3"/>
        <v>3</v>
      </c>
      <c r="I47" s="36">
        <f t="shared" si="4"/>
        <v>78570</v>
      </c>
      <c r="J47" s="11" t="s">
        <v>253</v>
      </c>
      <c r="K47" s="11" t="s">
        <v>52</v>
      </c>
      <c r="L47" s="31"/>
      <c r="M47" s="25" t="s">
        <v>53</v>
      </c>
      <c r="N47" s="26"/>
      <c r="O47" s="11" t="s">
        <v>54</v>
      </c>
      <c r="P47" s="13" t="s">
        <v>25</v>
      </c>
      <c r="Q47" s="12" t="s">
        <v>26</v>
      </c>
    </row>
    <row r="48" spans="1:17" hidden="1" x14ac:dyDescent="0.25">
      <c r="A48" s="1">
        <v>47</v>
      </c>
      <c r="B48" s="6" t="s">
        <v>254</v>
      </c>
      <c r="C48" s="6" t="s">
        <v>255</v>
      </c>
      <c r="D48" s="6">
        <v>30</v>
      </c>
      <c r="E48" s="6" t="s">
        <v>256</v>
      </c>
      <c r="F48" s="5" t="s">
        <v>257</v>
      </c>
      <c r="G48" s="8">
        <v>0.1</v>
      </c>
      <c r="H48" s="4">
        <f t="shared" si="3"/>
        <v>3</v>
      </c>
      <c r="I48" s="36">
        <f t="shared" si="4"/>
        <v>78570</v>
      </c>
      <c r="J48" s="11" t="s">
        <v>258</v>
      </c>
      <c r="K48" s="11" t="s">
        <v>52</v>
      </c>
      <c r="L48" s="31"/>
      <c r="M48" s="25" t="s">
        <v>53</v>
      </c>
      <c r="N48" s="26"/>
      <c r="O48" s="11" t="s">
        <v>54</v>
      </c>
      <c r="P48" s="13" t="s">
        <v>25</v>
      </c>
      <c r="Q48" s="12" t="s">
        <v>26</v>
      </c>
    </row>
    <row r="49" spans="1:17" x14ac:dyDescent="0.25">
      <c r="A49" s="1">
        <v>48</v>
      </c>
      <c r="B49" s="6" t="s">
        <v>259</v>
      </c>
      <c r="C49" s="6" t="s">
        <v>260</v>
      </c>
      <c r="D49" s="6">
        <v>30</v>
      </c>
      <c r="E49" s="6" t="s">
        <v>261</v>
      </c>
      <c r="F49" s="5" t="s">
        <v>262</v>
      </c>
      <c r="G49" s="8">
        <v>0.12</v>
      </c>
      <c r="H49" s="4">
        <f t="shared" si="3"/>
        <v>3.5999999999999996</v>
      </c>
      <c r="I49" s="36">
        <f t="shared" si="4"/>
        <v>94283.999999999985</v>
      </c>
      <c r="J49" s="11" t="s">
        <v>263</v>
      </c>
      <c r="K49" s="11" t="s">
        <v>110</v>
      </c>
      <c r="L49" s="31"/>
      <c r="M49" s="27" t="s">
        <v>133</v>
      </c>
      <c r="N49" s="26"/>
      <c r="O49" s="11" t="s">
        <v>111</v>
      </c>
      <c r="P49" s="13" t="s">
        <v>25</v>
      </c>
      <c r="Q49" s="12" t="s">
        <v>26</v>
      </c>
    </row>
    <row r="50" spans="1:17" hidden="1" x14ac:dyDescent="0.25">
      <c r="A50" s="1">
        <v>49</v>
      </c>
      <c r="B50" s="6" t="s">
        <v>264</v>
      </c>
      <c r="C50" s="6" t="s">
        <v>265</v>
      </c>
      <c r="D50" s="6">
        <v>30</v>
      </c>
      <c r="E50" s="6" t="s">
        <v>266</v>
      </c>
      <c r="F50" s="5" t="s">
        <v>267</v>
      </c>
      <c r="G50" s="8">
        <v>0.1</v>
      </c>
      <c r="H50" s="4">
        <f t="shared" si="3"/>
        <v>3</v>
      </c>
      <c r="I50" s="36">
        <f t="shared" si="4"/>
        <v>78570</v>
      </c>
      <c r="J50" s="11" t="s">
        <v>268</v>
      </c>
      <c r="K50" s="11" t="s">
        <v>52</v>
      </c>
      <c r="L50" s="31"/>
      <c r="M50" s="25" t="s">
        <v>53</v>
      </c>
      <c r="N50" s="26"/>
      <c r="O50" s="11" t="s">
        <v>54</v>
      </c>
      <c r="P50" s="13" t="s">
        <v>25</v>
      </c>
      <c r="Q50" s="12" t="s">
        <v>26</v>
      </c>
    </row>
    <row r="51" spans="1:17" x14ac:dyDescent="0.25">
      <c r="A51" s="1">
        <v>50</v>
      </c>
      <c r="B51" s="6" t="s">
        <v>269</v>
      </c>
      <c r="C51" s="6" t="s">
        <v>270</v>
      </c>
      <c r="D51" s="6">
        <v>30</v>
      </c>
      <c r="E51" s="6" t="s">
        <v>271</v>
      </c>
      <c r="F51" s="5" t="s">
        <v>272</v>
      </c>
      <c r="G51" s="8">
        <v>0.13</v>
      </c>
      <c r="H51" s="4">
        <f t="shared" si="3"/>
        <v>3.9000000000000004</v>
      </c>
      <c r="I51" s="36">
        <f t="shared" si="4"/>
        <v>102141.00000000001</v>
      </c>
      <c r="J51" s="11" t="s">
        <v>273</v>
      </c>
      <c r="K51" s="11" t="s">
        <v>110</v>
      </c>
      <c r="L51" s="31"/>
      <c r="M51" s="25" t="s">
        <v>53</v>
      </c>
      <c r="N51" s="26"/>
      <c r="O51" s="11" t="s">
        <v>111</v>
      </c>
      <c r="P51" s="13" t="s">
        <v>25</v>
      </c>
      <c r="Q51" s="12" t="s">
        <v>26</v>
      </c>
    </row>
    <row r="52" spans="1:17" hidden="1" x14ac:dyDescent="0.25">
      <c r="A52" s="1">
        <v>51</v>
      </c>
      <c r="B52" s="6" t="s">
        <v>274</v>
      </c>
      <c r="C52" s="6" t="s">
        <v>275</v>
      </c>
      <c r="D52" s="6">
        <v>30</v>
      </c>
      <c r="E52" s="6" t="s">
        <v>276</v>
      </c>
      <c r="F52" s="5" t="s">
        <v>277</v>
      </c>
      <c r="G52" s="8">
        <v>0.1</v>
      </c>
      <c r="H52" s="4">
        <f t="shared" si="3"/>
        <v>3</v>
      </c>
      <c r="I52" s="36">
        <f t="shared" si="4"/>
        <v>78570</v>
      </c>
      <c r="J52" s="11" t="s">
        <v>278</v>
      </c>
      <c r="K52" s="11" t="s">
        <v>52</v>
      </c>
      <c r="L52" s="31"/>
      <c r="M52" s="25" t="s">
        <v>53</v>
      </c>
      <c r="N52" s="26"/>
      <c r="O52" s="11" t="s">
        <v>54</v>
      </c>
      <c r="P52" s="13" t="s">
        <v>25</v>
      </c>
      <c r="Q52" s="12" t="s">
        <v>26</v>
      </c>
    </row>
    <row r="53" spans="1:17" x14ac:dyDescent="0.25">
      <c r="A53" s="1">
        <v>52</v>
      </c>
      <c r="B53" s="6" t="s">
        <v>279</v>
      </c>
      <c r="C53" s="6" t="s">
        <v>280</v>
      </c>
      <c r="D53" s="6">
        <v>30</v>
      </c>
      <c r="E53" s="6" t="s">
        <v>281</v>
      </c>
      <c r="F53" s="5" t="s">
        <v>282</v>
      </c>
      <c r="G53" s="8">
        <v>0.15</v>
      </c>
      <c r="H53" s="4">
        <f t="shared" si="3"/>
        <v>4.5</v>
      </c>
      <c r="I53" s="36">
        <f t="shared" si="4"/>
        <v>117855</v>
      </c>
      <c r="J53" s="11" t="s">
        <v>283</v>
      </c>
      <c r="K53" s="11" t="s">
        <v>110</v>
      </c>
      <c r="L53" s="31"/>
      <c r="M53" s="25" t="s">
        <v>53</v>
      </c>
      <c r="N53" s="26"/>
      <c r="O53" s="11" t="s">
        <v>111</v>
      </c>
      <c r="P53" s="13" t="s">
        <v>25</v>
      </c>
      <c r="Q53" s="12" t="s">
        <v>26</v>
      </c>
    </row>
    <row r="54" spans="1:17" x14ac:dyDescent="0.25">
      <c r="A54" s="1">
        <v>53</v>
      </c>
      <c r="B54" s="6" t="s">
        <v>284</v>
      </c>
      <c r="C54" s="6" t="s">
        <v>285</v>
      </c>
      <c r="D54" s="6">
        <v>30</v>
      </c>
      <c r="E54" s="6" t="s">
        <v>286</v>
      </c>
      <c r="F54" s="5" t="s">
        <v>287</v>
      </c>
      <c r="G54" s="8">
        <v>0.08</v>
      </c>
      <c r="H54" s="4">
        <f t="shared" si="3"/>
        <v>2.4</v>
      </c>
      <c r="I54" s="36">
        <f t="shared" si="4"/>
        <v>62856</v>
      </c>
      <c r="J54" s="11" t="s">
        <v>288</v>
      </c>
      <c r="K54" s="11" t="s">
        <v>110</v>
      </c>
      <c r="L54" s="31"/>
      <c r="M54" s="25" t="s">
        <v>53</v>
      </c>
      <c r="N54" s="26"/>
      <c r="O54" s="11" t="s">
        <v>111</v>
      </c>
      <c r="P54" s="13" t="s">
        <v>25</v>
      </c>
      <c r="Q54" s="12" t="s">
        <v>26</v>
      </c>
    </row>
    <row r="55" spans="1:17" hidden="1" x14ac:dyDescent="0.25">
      <c r="A55" s="1">
        <v>54</v>
      </c>
      <c r="B55" s="6" t="s">
        <v>289</v>
      </c>
      <c r="C55" s="6" t="s">
        <v>290</v>
      </c>
      <c r="D55" s="6">
        <v>4</v>
      </c>
      <c r="E55" s="6" t="s">
        <v>291</v>
      </c>
      <c r="F55" s="5" t="s">
        <v>292</v>
      </c>
      <c r="G55" s="8">
        <v>4.05</v>
      </c>
      <c r="H55" s="4">
        <f t="shared" si="3"/>
        <v>16.2</v>
      </c>
      <c r="I55" s="36">
        <f t="shared" si="4"/>
        <v>424278</v>
      </c>
      <c r="J55" s="11" t="s">
        <v>21</v>
      </c>
      <c r="K55" s="13" t="s">
        <v>22</v>
      </c>
      <c r="L55" s="31" t="s">
        <v>21</v>
      </c>
      <c r="M55" s="11"/>
      <c r="N55" s="11"/>
      <c r="O55" s="11" t="s">
        <v>24</v>
      </c>
      <c r="P55" s="13" t="s">
        <v>25</v>
      </c>
      <c r="Q55" s="12" t="s">
        <v>26</v>
      </c>
    </row>
    <row r="56" spans="1:17" hidden="1" x14ac:dyDescent="0.25">
      <c r="A56" s="1">
        <v>55</v>
      </c>
      <c r="B56" s="6" t="s">
        <v>293</v>
      </c>
      <c r="C56" s="6" t="s">
        <v>294</v>
      </c>
      <c r="D56" s="6">
        <v>4</v>
      </c>
      <c r="E56" s="6" t="s">
        <v>295</v>
      </c>
      <c r="F56" s="5" t="s">
        <v>296</v>
      </c>
      <c r="G56" s="8">
        <v>5.05</v>
      </c>
      <c r="H56" s="4">
        <f t="shared" si="3"/>
        <v>20.2</v>
      </c>
      <c r="I56" s="36">
        <f t="shared" si="4"/>
        <v>529038</v>
      </c>
      <c r="J56" s="11" t="s">
        <v>21</v>
      </c>
      <c r="K56" s="13" t="s">
        <v>22</v>
      </c>
      <c r="L56" s="31" t="s">
        <v>21</v>
      </c>
      <c r="M56" s="11"/>
      <c r="N56" s="11"/>
      <c r="O56" s="11" t="s">
        <v>24</v>
      </c>
      <c r="P56" s="13" t="s">
        <v>25</v>
      </c>
      <c r="Q56" s="12" t="s">
        <v>26</v>
      </c>
    </row>
    <row r="57" spans="1:17" hidden="1" x14ac:dyDescent="0.25">
      <c r="A57" s="1">
        <v>56</v>
      </c>
      <c r="B57" s="6" t="s">
        <v>297</v>
      </c>
      <c r="C57" s="6" t="s">
        <v>298</v>
      </c>
      <c r="D57" s="6">
        <v>10</v>
      </c>
      <c r="E57" s="6" t="s">
        <v>299</v>
      </c>
      <c r="F57" s="5" t="s">
        <v>300</v>
      </c>
      <c r="G57" s="8">
        <v>0.32</v>
      </c>
      <c r="H57" s="4">
        <f t="shared" si="3"/>
        <v>3.2</v>
      </c>
      <c r="I57" s="36">
        <f t="shared" si="4"/>
        <v>83808</v>
      </c>
      <c r="J57" s="11" t="s">
        <v>21</v>
      </c>
      <c r="K57" s="13" t="s">
        <v>22</v>
      </c>
      <c r="L57" s="31" t="s">
        <v>21</v>
      </c>
      <c r="M57" s="11"/>
      <c r="N57" s="11"/>
      <c r="O57" s="11" t="s">
        <v>24</v>
      </c>
      <c r="P57" s="13" t="s">
        <v>25</v>
      </c>
      <c r="Q57" s="12" t="s">
        <v>26</v>
      </c>
    </row>
    <row r="58" spans="1:17" hidden="1" x14ac:dyDescent="0.25">
      <c r="A58" s="1">
        <v>57</v>
      </c>
      <c r="B58" s="6" t="s">
        <v>202</v>
      </c>
      <c r="C58" s="6" t="s">
        <v>203</v>
      </c>
      <c r="D58" s="6">
        <v>10</v>
      </c>
      <c r="E58" s="6" t="s">
        <v>301</v>
      </c>
      <c r="F58" s="5" t="s">
        <v>302</v>
      </c>
      <c r="G58" s="8">
        <v>0.36</v>
      </c>
      <c r="H58" s="4">
        <f t="shared" si="3"/>
        <v>3.5999999999999996</v>
      </c>
      <c r="I58" s="36">
        <f t="shared" si="4"/>
        <v>94283.999999999985</v>
      </c>
      <c r="J58" s="11" t="s">
        <v>21</v>
      </c>
      <c r="K58" s="13" t="s">
        <v>22</v>
      </c>
      <c r="L58" s="31" t="s">
        <v>21</v>
      </c>
      <c r="M58" s="11"/>
      <c r="N58" s="11"/>
      <c r="O58" s="11" t="s">
        <v>24</v>
      </c>
      <c r="P58" s="13" t="s">
        <v>25</v>
      </c>
      <c r="Q58" s="12" t="s">
        <v>26</v>
      </c>
    </row>
    <row r="59" spans="1:17" hidden="1" x14ac:dyDescent="0.25">
      <c r="A59" s="1">
        <v>58</v>
      </c>
      <c r="B59" s="6" t="s">
        <v>303</v>
      </c>
      <c r="C59" s="6" t="s">
        <v>304</v>
      </c>
      <c r="D59" s="6">
        <v>25</v>
      </c>
      <c r="E59" s="6" t="s">
        <v>305</v>
      </c>
      <c r="F59" s="5" t="s">
        <v>306</v>
      </c>
      <c r="G59" s="8">
        <v>0.1</v>
      </c>
      <c r="H59" s="4">
        <f t="shared" si="3"/>
        <v>2.5</v>
      </c>
      <c r="I59" s="36">
        <f t="shared" si="4"/>
        <v>65475</v>
      </c>
      <c r="J59" s="11">
        <v>600</v>
      </c>
      <c r="K59" s="11" t="s">
        <v>52</v>
      </c>
      <c r="L59" s="31"/>
      <c r="M59" s="25" t="s">
        <v>53</v>
      </c>
      <c r="N59" s="26"/>
      <c r="O59" s="11" t="s">
        <v>307</v>
      </c>
      <c r="P59" s="13" t="s">
        <v>25</v>
      </c>
      <c r="Q59" s="12" t="s">
        <v>26</v>
      </c>
    </row>
    <row r="60" spans="1:17" x14ac:dyDescent="0.25">
      <c r="A60" s="1">
        <v>59</v>
      </c>
      <c r="B60" s="6" t="s">
        <v>308</v>
      </c>
      <c r="C60" s="6" t="s">
        <v>309</v>
      </c>
      <c r="D60" s="6">
        <v>30</v>
      </c>
      <c r="E60" s="6" t="s">
        <v>310</v>
      </c>
      <c r="F60" s="5" t="s">
        <v>311</v>
      </c>
      <c r="G60" s="8">
        <v>0.11</v>
      </c>
      <c r="H60" s="4">
        <f t="shared" si="3"/>
        <v>3.3</v>
      </c>
      <c r="I60" s="36">
        <f t="shared" si="4"/>
        <v>86427</v>
      </c>
      <c r="J60" s="11" t="s">
        <v>121</v>
      </c>
      <c r="K60" s="11" t="s">
        <v>110</v>
      </c>
      <c r="L60" s="31"/>
      <c r="M60" s="25" t="s">
        <v>53</v>
      </c>
      <c r="N60" s="26"/>
      <c r="O60" s="11" t="s">
        <v>111</v>
      </c>
      <c r="P60" s="13" t="s">
        <v>25</v>
      </c>
      <c r="Q60" s="12" t="s">
        <v>26</v>
      </c>
    </row>
    <row r="61" spans="1:17" hidden="1" x14ac:dyDescent="0.25">
      <c r="A61" s="1">
        <v>60</v>
      </c>
      <c r="B61" s="6" t="s">
        <v>312</v>
      </c>
      <c r="C61" s="6" t="s">
        <v>313</v>
      </c>
      <c r="D61" s="6">
        <v>25</v>
      </c>
      <c r="E61" s="6" t="s">
        <v>314</v>
      </c>
      <c r="F61" s="5" t="s">
        <v>315</v>
      </c>
      <c r="G61" s="8">
        <v>0.1</v>
      </c>
      <c r="H61" s="4">
        <f t="shared" si="3"/>
        <v>2.5</v>
      </c>
      <c r="I61" s="36">
        <f t="shared" si="4"/>
        <v>65475</v>
      </c>
      <c r="J61" s="11" t="s">
        <v>316</v>
      </c>
      <c r="K61" s="11" t="s">
        <v>52</v>
      </c>
      <c r="L61" s="31"/>
      <c r="M61" s="25" t="s">
        <v>53</v>
      </c>
      <c r="N61" s="26"/>
      <c r="O61" s="11" t="s">
        <v>54</v>
      </c>
      <c r="P61" s="13" t="s">
        <v>25</v>
      </c>
      <c r="Q61" s="12" t="s">
        <v>26</v>
      </c>
    </row>
    <row r="62" spans="1:17" x14ac:dyDescent="0.25">
      <c r="A62" s="1">
        <v>61</v>
      </c>
      <c r="B62" s="6" t="s">
        <v>317</v>
      </c>
      <c r="C62" s="6" t="s">
        <v>318</v>
      </c>
      <c r="D62" s="6">
        <v>25</v>
      </c>
      <c r="E62" s="6" t="s">
        <v>319</v>
      </c>
      <c r="F62" s="5" t="s">
        <v>320</v>
      </c>
      <c r="G62" s="8">
        <v>0.34</v>
      </c>
      <c r="H62" s="4">
        <f t="shared" si="3"/>
        <v>8.5</v>
      </c>
      <c r="I62" s="36">
        <f t="shared" si="4"/>
        <v>222615</v>
      </c>
      <c r="J62" s="11" t="s">
        <v>321</v>
      </c>
      <c r="K62" s="11" t="s">
        <v>110</v>
      </c>
      <c r="L62" s="31"/>
      <c r="M62" s="27" t="s">
        <v>127</v>
      </c>
      <c r="N62" s="26"/>
      <c r="O62" s="11" t="s">
        <v>111</v>
      </c>
      <c r="P62" s="13" t="s">
        <v>25</v>
      </c>
      <c r="Q62" s="12" t="s">
        <v>26</v>
      </c>
    </row>
    <row r="63" spans="1:17" x14ac:dyDescent="0.25">
      <c r="A63" s="1">
        <v>62</v>
      </c>
      <c r="B63" s="6" t="s">
        <v>322</v>
      </c>
      <c r="C63" s="6" t="s">
        <v>323</v>
      </c>
      <c r="D63" s="6">
        <v>25</v>
      </c>
      <c r="E63" s="6" t="s">
        <v>324</v>
      </c>
      <c r="F63" s="5" t="s">
        <v>325</v>
      </c>
      <c r="G63" s="8">
        <v>0.1</v>
      </c>
      <c r="H63" s="4">
        <f t="shared" si="3"/>
        <v>2.5</v>
      </c>
      <c r="I63" s="36">
        <f t="shared" si="4"/>
        <v>65475</v>
      </c>
      <c r="J63" s="11" t="s">
        <v>326</v>
      </c>
      <c r="K63" s="11" t="s">
        <v>110</v>
      </c>
      <c r="L63" s="31"/>
      <c r="M63" s="25" t="s">
        <v>53</v>
      </c>
      <c r="N63" s="26"/>
      <c r="O63" s="11" t="s">
        <v>111</v>
      </c>
      <c r="P63" s="13" t="s">
        <v>25</v>
      </c>
      <c r="Q63" s="14" t="s">
        <v>26</v>
      </c>
    </row>
    <row r="64" spans="1:17" hidden="1" x14ac:dyDescent="0.25">
      <c r="A64" s="1">
        <v>63</v>
      </c>
      <c r="B64" s="1" t="s">
        <v>327</v>
      </c>
      <c r="C64" s="1" t="s">
        <v>328</v>
      </c>
      <c r="D64" s="6">
        <v>25</v>
      </c>
      <c r="E64" s="6" t="s">
        <v>329</v>
      </c>
      <c r="F64" s="3" t="s">
        <v>330</v>
      </c>
      <c r="G64" s="8">
        <v>1.1759999999999999</v>
      </c>
      <c r="H64" s="4">
        <f t="shared" si="3"/>
        <v>29.4</v>
      </c>
      <c r="I64" s="36">
        <f t="shared" si="4"/>
        <v>769986</v>
      </c>
      <c r="J64" s="11">
        <v>49.9</v>
      </c>
      <c r="K64" s="11" t="s">
        <v>52</v>
      </c>
      <c r="L64" s="31">
        <v>1E-4</v>
      </c>
      <c r="M64" s="25" t="s">
        <v>53</v>
      </c>
      <c r="N64" s="11" t="s">
        <v>331</v>
      </c>
      <c r="O64" s="11" t="s">
        <v>54</v>
      </c>
      <c r="P64" s="13" t="s">
        <v>46</v>
      </c>
      <c r="Q64" s="14" t="s">
        <v>26</v>
      </c>
    </row>
    <row r="65" spans="1:17" ht="16.5" hidden="1" customHeight="1" x14ac:dyDescent="0.25">
      <c r="A65" s="1">
        <v>64</v>
      </c>
      <c r="B65" s="6" t="s">
        <v>332</v>
      </c>
      <c r="C65" s="6" t="s">
        <v>333</v>
      </c>
      <c r="D65" s="6">
        <v>25</v>
      </c>
      <c r="E65" s="6" t="s">
        <v>334</v>
      </c>
      <c r="F65" s="5" t="s">
        <v>335</v>
      </c>
      <c r="G65" s="8">
        <v>1.1759999999999999</v>
      </c>
      <c r="H65" s="4">
        <f t="shared" si="3"/>
        <v>29.4</v>
      </c>
      <c r="I65" s="36">
        <f t="shared" si="4"/>
        <v>769986</v>
      </c>
      <c r="J65" s="11" t="s">
        <v>336</v>
      </c>
      <c r="K65" s="11" t="s">
        <v>52</v>
      </c>
      <c r="L65" s="31">
        <v>1E-4</v>
      </c>
      <c r="M65" s="25" t="s">
        <v>53</v>
      </c>
      <c r="N65" s="11" t="s">
        <v>331</v>
      </c>
      <c r="O65" s="11" t="s">
        <v>54</v>
      </c>
      <c r="P65" s="13" t="s">
        <v>46</v>
      </c>
      <c r="Q65" s="14" t="s">
        <v>26</v>
      </c>
    </row>
    <row r="66" spans="1:17" ht="17.25" hidden="1" customHeight="1" x14ac:dyDescent="0.25">
      <c r="A66" s="1">
        <v>65</v>
      </c>
      <c r="B66" s="6" t="s">
        <v>337</v>
      </c>
      <c r="C66" s="6" t="s">
        <v>338</v>
      </c>
      <c r="D66" s="6">
        <v>25</v>
      </c>
      <c r="E66" s="6" t="s">
        <v>339</v>
      </c>
      <c r="F66" s="5" t="s">
        <v>340</v>
      </c>
      <c r="G66" s="8">
        <v>1.1759999999999999</v>
      </c>
      <c r="H66" s="4">
        <f t="shared" ref="H66:H87" si="5">G66*D66</f>
        <v>29.4</v>
      </c>
      <c r="I66" s="36">
        <f t="shared" si="4"/>
        <v>769986</v>
      </c>
      <c r="J66" s="11">
        <v>499</v>
      </c>
      <c r="K66" s="11" t="s">
        <v>52</v>
      </c>
      <c r="L66" s="31">
        <v>1E-4</v>
      </c>
      <c r="M66" s="25" t="s">
        <v>53</v>
      </c>
      <c r="N66" s="11" t="s">
        <v>331</v>
      </c>
      <c r="O66" s="11" t="s">
        <v>54</v>
      </c>
      <c r="P66" s="13" t="s">
        <v>46</v>
      </c>
      <c r="Q66" s="14" t="s">
        <v>26</v>
      </c>
    </row>
    <row r="67" spans="1:17" ht="17.25" hidden="1" customHeight="1" x14ac:dyDescent="0.25">
      <c r="A67" s="1">
        <v>66</v>
      </c>
      <c r="B67" s="6" t="s">
        <v>341</v>
      </c>
      <c r="C67" s="6" t="s">
        <v>342</v>
      </c>
      <c r="D67" s="6">
        <v>25</v>
      </c>
      <c r="E67" s="6" t="s">
        <v>343</v>
      </c>
      <c r="F67" s="5" t="s">
        <v>344</v>
      </c>
      <c r="G67" s="8">
        <v>0.48159999999999997</v>
      </c>
      <c r="H67" s="4">
        <f t="shared" si="5"/>
        <v>12.04</v>
      </c>
      <c r="I67" s="36">
        <f t="shared" si="4"/>
        <v>315327.59999999998</v>
      </c>
      <c r="J67" s="11">
        <v>51</v>
      </c>
      <c r="K67" s="11" t="s">
        <v>52</v>
      </c>
      <c r="L67" s="31">
        <v>5.0000000000000001E-4</v>
      </c>
      <c r="M67" s="27" t="s">
        <v>133</v>
      </c>
      <c r="N67" s="11" t="s">
        <v>345</v>
      </c>
      <c r="O67" s="11" t="s">
        <v>54</v>
      </c>
      <c r="P67" s="13" t="s">
        <v>46</v>
      </c>
      <c r="Q67" s="14" t="s">
        <v>26</v>
      </c>
    </row>
    <row r="68" spans="1:17" ht="17.25" hidden="1" customHeight="1" x14ac:dyDescent="0.25">
      <c r="A68" s="1">
        <v>67</v>
      </c>
      <c r="B68" s="6" t="s">
        <v>346</v>
      </c>
      <c r="C68" s="6" t="s">
        <v>347</v>
      </c>
      <c r="D68" s="6">
        <v>10</v>
      </c>
      <c r="E68" s="6" t="s">
        <v>348</v>
      </c>
      <c r="F68" s="5" t="s">
        <v>349</v>
      </c>
      <c r="G68" s="8">
        <v>2.7189999999999999</v>
      </c>
      <c r="H68" s="4">
        <f t="shared" si="5"/>
        <v>27.189999999999998</v>
      </c>
      <c r="I68" s="36">
        <f t="shared" si="4"/>
        <v>712106.1</v>
      </c>
      <c r="J68" s="11" t="s">
        <v>51</v>
      </c>
      <c r="K68" s="11" t="s">
        <v>52</v>
      </c>
      <c r="L68" s="31">
        <v>1E-4</v>
      </c>
      <c r="M68" s="27" t="s">
        <v>133</v>
      </c>
      <c r="N68" s="11" t="s">
        <v>331</v>
      </c>
      <c r="O68" s="11" t="s">
        <v>54</v>
      </c>
      <c r="P68" s="13" t="s">
        <v>46</v>
      </c>
      <c r="Q68" s="14" t="s">
        <v>26</v>
      </c>
    </row>
    <row r="69" spans="1:17" x14ac:dyDescent="0.25">
      <c r="A69" s="1">
        <v>68</v>
      </c>
      <c r="B69" s="6" t="s">
        <v>350</v>
      </c>
      <c r="C69" s="6" t="s">
        <v>351</v>
      </c>
      <c r="D69" s="6">
        <v>25</v>
      </c>
      <c r="E69" s="6" t="s">
        <v>352</v>
      </c>
      <c r="F69" s="5" t="s">
        <v>353</v>
      </c>
      <c r="G69" s="8">
        <v>0.50700000000000001</v>
      </c>
      <c r="H69" s="4">
        <f t="shared" si="5"/>
        <v>12.675000000000001</v>
      </c>
      <c r="I69" s="36">
        <f t="shared" si="4"/>
        <v>331958.25</v>
      </c>
      <c r="J69" s="11" t="s">
        <v>354</v>
      </c>
      <c r="K69" s="11" t="s">
        <v>110</v>
      </c>
      <c r="L69" s="31">
        <v>0.01</v>
      </c>
      <c r="M69" s="25" t="s">
        <v>53</v>
      </c>
      <c r="N69" s="11"/>
      <c r="O69" s="11" t="s">
        <v>111</v>
      </c>
      <c r="P69" s="13" t="s">
        <v>46</v>
      </c>
      <c r="Q69" s="14" t="s">
        <v>26</v>
      </c>
    </row>
    <row r="70" spans="1:17" x14ac:dyDescent="0.25">
      <c r="A70" s="1">
        <v>69</v>
      </c>
      <c r="B70" s="6" t="s">
        <v>355</v>
      </c>
      <c r="C70" s="6" t="s">
        <v>356</v>
      </c>
      <c r="D70" s="6">
        <v>50</v>
      </c>
      <c r="E70" s="6" t="s">
        <v>114</v>
      </c>
      <c r="F70" s="5" t="s">
        <v>357</v>
      </c>
      <c r="G70" s="8">
        <v>3.5000000000000003E-2</v>
      </c>
      <c r="H70" s="4">
        <f t="shared" si="5"/>
        <v>1.7500000000000002</v>
      </c>
      <c r="I70" s="36">
        <f t="shared" si="4"/>
        <v>45832.500000000007</v>
      </c>
      <c r="J70" s="11" t="s">
        <v>116</v>
      </c>
      <c r="K70" s="11" t="s">
        <v>110</v>
      </c>
      <c r="L70" s="31">
        <v>0.05</v>
      </c>
      <c r="M70" s="25" t="s">
        <v>53</v>
      </c>
      <c r="N70" s="11"/>
      <c r="O70" s="11" t="s">
        <v>111</v>
      </c>
      <c r="P70" s="13" t="s">
        <v>46</v>
      </c>
      <c r="Q70" s="14" t="s">
        <v>26</v>
      </c>
    </row>
    <row r="71" spans="1:17" hidden="1" x14ac:dyDescent="0.25">
      <c r="A71" s="1">
        <v>70</v>
      </c>
      <c r="B71" s="6" t="s">
        <v>358</v>
      </c>
      <c r="C71" s="6" t="s">
        <v>359</v>
      </c>
      <c r="D71" s="6">
        <v>25</v>
      </c>
      <c r="E71" s="6" t="s">
        <v>360</v>
      </c>
      <c r="F71" s="5" t="s">
        <v>361</v>
      </c>
      <c r="G71" s="8">
        <v>0.3412</v>
      </c>
      <c r="H71" s="4">
        <f t="shared" si="5"/>
        <v>8.5299999999999994</v>
      </c>
      <c r="I71" s="36">
        <f t="shared" si="4"/>
        <v>223400.69999999998</v>
      </c>
      <c r="J71" s="11" t="s">
        <v>253</v>
      </c>
      <c r="K71" s="11" t="s">
        <v>52</v>
      </c>
      <c r="L71" s="31">
        <v>5.0000000000000001E-4</v>
      </c>
      <c r="M71" s="25" t="s">
        <v>53</v>
      </c>
      <c r="N71" s="11" t="s">
        <v>331</v>
      </c>
      <c r="O71" s="11" t="s">
        <v>54</v>
      </c>
      <c r="P71" s="13" t="s">
        <v>46</v>
      </c>
      <c r="Q71" s="14" t="s">
        <v>26</v>
      </c>
    </row>
    <row r="72" spans="1:17" hidden="1" x14ac:dyDescent="0.25">
      <c r="A72" s="1">
        <v>71</v>
      </c>
      <c r="B72" s="6" t="s">
        <v>362</v>
      </c>
      <c r="C72" s="6" t="s">
        <v>363</v>
      </c>
      <c r="D72" s="6">
        <v>25</v>
      </c>
      <c r="E72" s="6" t="s">
        <v>364</v>
      </c>
      <c r="F72" s="5" t="s">
        <v>365</v>
      </c>
      <c r="G72" s="8">
        <v>0.42080000000000001</v>
      </c>
      <c r="H72" s="4">
        <f t="shared" si="5"/>
        <v>10.52</v>
      </c>
      <c r="I72" s="36">
        <f t="shared" si="4"/>
        <v>275518.8</v>
      </c>
      <c r="J72" s="11" t="s">
        <v>100</v>
      </c>
      <c r="K72" s="11" t="s">
        <v>52</v>
      </c>
      <c r="L72" s="31">
        <v>5.0000000000000001E-4</v>
      </c>
      <c r="M72" s="25" t="s">
        <v>53</v>
      </c>
      <c r="N72" s="11" t="s">
        <v>331</v>
      </c>
      <c r="O72" s="11" t="s">
        <v>54</v>
      </c>
      <c r="P72" s="13" t="s">
        <v>46</v>
      </c>
      <c r="Q72" s="14" t="s">
        <v>26</v>
      </c>
    </row>
    <row r="73" spans="1:17" hidden="1" x14ac:dyDescent="0.25">
      <c r="A73" s="1">
        <v>72</v>
      </c>
      <c r="B73" s="6" t="s">
        <v>366</v>
      </c>
      <c r="C73" s="6" t="s">
        <v>367</v>
      </c>
      <c r="D73" s="6">
        <v>25</v>
      </c>
      <c r="E73" s="6" t="s">
        <v>368</v>
      </c>
      <c r="F73" s="5" t="s">
        <v>369</v>
      </c>
      <c r="G73" s="8">
        <v>0.44040000000000001</v>
      </c>
      <c r="H73" s="4">
        <f t="shared" si="5"/>
        <v>11.01</v>
      </c>
      <c r="I73" s="36">
        <f t="shared" si="4"/>
        <v>288351.90000000002</v>
      </c>
      <c r="J73" s="11">
        <v>47</v>
      </c>
      <c r="K73" s="11" t="s">
        <v>52</v>
      </c>
      <c r="L73" s="31">
        <v>5.0000000000000001E-4</v>
      </c>
      <c r="M73" s="25" t="s">
        <v>53</v>
      </c>
      <c r="N73" s="11" t="s">
        <v>331</v>
      </c>
      <c r="O73" s="11" t="s">
        <v>54</v>
      </c>
      <c r="P73" s="13" t="s">
        <v>46</v>
      </c>
      <c r="Q73" s="14" t="s">
        <v>26</v>
      </c>
    </row>
    <row r="74" spans="1:17" hidden="1" x14ac:dyDescent="0.25">
      <c r="A74" s="1">
        <v>73</v>
      </c>
      <c r="B74" s="6" t="s">
        <v>370</v>
      </c>
      <c r="C74" s="6" t="s">
        <v>371</v>
      </c>
      <c r="D74" s="6">
        <v>25</v>
      </c>
      <c r="E74" s="6" t="s">
        <v>372</v>
      </c>
      <c r="F74" s="5" t="s">
        <v>373</v>
      </c>
      <c r="G74" s="8">
        <v>0.65</v>
      </c>
      <c r="H74" s="4">
        <f t="shared" si="5"/>
        <v>16.25</v>
      </c>
      <c r="I74" s="36">
        <f t="shared" si="4"/>
        <v>425587.5</v>
      </c>
      <c r="J74" s="11">
        <v>10</v>
      </c>
      <c r="K74" s="11" t="s">
        <v>52</v>
      </c>
      <c r="L74" s="31">
        <v>5.0000000000000001E-4</v>
      </c>
      <c r="M74" s="25" t="s">
        <v>53</v>
      </c>
      <c r="N74" s="11" t="s">
        <v>331</v>
      </c>
      <c r="O74" s="11" t="s">
        <v>54</v>
      </c>
      <c r="P74" s="13" t="s">
        <v>46</v>
      </c>
      <c r="Q74" s="14" t="s">
        <v>26</v>
      </c>
    </row>
    <row r="75" spans="1:17" x14ac:dyDescent="0.25">
      <c r="A75" s="1">
        <v>74</v>
      </c>
      <c r="B75" s="6" t="s">
        <v>374</v>
      </c>
      <c r="C75" s="6" t="s">
        <v>375</v>
      </c>
      <c r="D75" s="6">
        <v>25</v>
      </c>
      <c r="E75" s="6" t="s">
        <v>376</v>
      </c>
      <c r="F75" s="5" t="s">
        <v>377</v>
      </c>
      <c r="G75" s="8">
        <v>0.109</v>
      </c>
      <c r="H75" s="4">
        <f t="shared" si="5"/>
        <v>2.7250000000000001</v>
      </c>
      <c r="I75" s="36">
        <f t="shared" si="4"/>
        <v>71367.75</v>
      </c>
      <c r="J75" s="11" t="s">
        <v>126</v>
      </c>
      <c r="K75" s="11" t="s">
        <v>110</v>
      </c>
      <c r="L75" s="31">
        <v>0.05</v>
      </c>
      <c r="M75" s="25" t="s">
        <v>53</v>
      </c>
      <c r="N75" s="11"/>
      <c r="O75" s="11" t="s">
        <v>111</v>
      </c>
      <c r="P75" s="13" t="s">
        <v>46</v>
      </c>
      <c r="Q75" s="14" t="s">
        <v>26</v>
      </c>
    </row>
    <row r="76" spans="1:17" hidden="1" x14ac:dyDescent="0.25">
      <c r="A76" s="1">
        <v>75</v>
      </c>
      <c r="B76" s="6" t="s">
        <v>378</v>
      </c>
      <c r="C76" s="6" t="s">
        <v>379</v>
      </c>
      <c r="D76" s="6">
        <v>4</v>
      </c>
      <c r="E76" s="6" t="s">
        <v>380</v>
      </c>
      <c r="F76" s="5" t="s">
        <v>381</v>
      </c>
      <c r="G76" s="8">
        <v>8.01</v>
      </c>
      <c r="H76" s="4">
        <f t="shared" si="5"/>
        <v>32.04</v>
      </c>
      <c r="I76" s="36">
        <f t="shared" si="4"/>
        <v>839127.6</v>
      </c>
      <c r="J76" s="11" t="s">
        <v>21</v>
      </c>
      <c r="K76" s="13" t="s">
        <v>22</v>
      </c>
      <c r="L76" s="31" t="s">
        <v>21</v>
      </c>
      <c r="M76" s="25"/>
      <c r="N76" s="11"/>
      <c r="O76" s="11" t="s">
        <v>24</v>
      </c>
      <c r="P76" s="13" t="s">
        <v>46</v>
      </c>
      <c r="Q76" s="14" t="s">
        <v>26</v>
      </c>
    </row>
    <row r="77" spans="1:17" hidden="1" x14ac:dyDescent="0.25">
      <c r="A77" s="1">
        <v>76</v>
      </c>
      <c r="B77" s="6" t="s">
        <v>382</v>
      </c>
      <c r="C77" s="6" t="s">
        <v>383</v>
      </c>
      <c r="D77" s="6">
        <v>4</v>
      </c>
      <c r="E77" s="6" t="s">
        <v>384</v>
      </c>
      <c r="F77" s="5" t="s">
        <v>385</v>
      </c>
      <c r="G77" s="8">
        <v>4.1900000000000004</v>
      </c>
      <c r="H77" s="2">
        <f t="shared" si="5"/>
        <v>16.760000000000002</v>
      </c>
      <c r="I77" s="36">
        <f t="shared" si="4"/>
        <v>438944.4</v>
      </c>
      <c r="J77" s="11" t="s">
        <v>21</v>
      </c>
      <c r="K77" s="13" t="s">
        <v>22</v>
      </c>
      <c r="L77" s="31" t="s">
        <v>21</v>
      </c>
      <c r="M77" s="25"/>
      <c r="N77" s="11"/>
      <c r="O77" s="11" t="s">
        <v>24</v>
      </c>
      <c r="P77" s="13" t="s">
        <v>46</v>
      </c>
      <c r="Q77" s="14" t="s">
        <v>26</v>
      </c>
    </row>
    <row r="78" spans="1:17" hidden="1" x14ac:dyDescent="0.25">
      <c r="A78" s="1">
        <v>77</v>
      </c>
      <c r="B78" s="6" t="s">
        <v>386</v>
      </c>
      <c r="C78" s="6" t="s">
        <v>387</v>
      </c>
      <c r="D78" s="6">
        <v>4</v>
      </c>
      <c r="E78" s="6" t="s">
        <v>388</v>
      </c>
      <c r="F78" s="3" t="s">
        <v>389</v>
      </c>
      <c r="G78" s="8">
        <v>2.94</v>
      </c>
      <c r="H78" s="2">
        <f t="shared" si="5"/>
        <v>11.76</v>
      </c>
      <c r="I78" s="34">
        <f t="shared" si="4"/>
        <v>307994.40000000002</v>
      </c>
      <c r="J78" s="11" t="s">
        <v>21</v>
      </c>
      <c r="K78" s="13" t="s">
        <v>22</v>
      </c>
      <c r="L78" s="31" t="s">
        <v>21</v>
      </c>
      <c r="M78" s="25"/>
      <c r="N78" s="11"/>
      <c r="O78" s="11" t="s">
        <v>24</v>
      </c>
      <c r="P78" s="13" t="s">
        <v>46</v>
      </c>
      <c r="Q78" s="14" t="s">
        <v>26</v>
      </c>
    </row>
    <row r="79" spans="1:17" x14ac:dyDescent="0.25">
      <c r="A79" s="1">
        <v>78</v>
      </c>
      <c r="B79" s="1" t="s">
        <v>390</v>
      </c>
      <c r="C79" s="1" t="s">
        <v>391</v>
      </c>
      <c r="D79" s="1">
        <v>50</v>
      </c>
      <c r="E79" s="1" t="s">
        <v>392</v>
      </c>
      <c r="F79" s="3" t="s">
        <v>393</v>
      </c>
      <c r="G79" s="8">
        <v>9.5799999999999996E-2</v>
      </c>
      <c r="H79" s="2">
        <f t="shared" si="5"/>
        <v>4.79</v>
      </c>
      <c r="I79" s="34">
        <f t="shared" si="4"/>
        <v>125450.1</v>
      </c>
      <c r="J79" s="13" t="s">
        <v>394</v>
      </c>
      <c r="K79" s="11" t="s">
        <v>110</v>
      </c>
      <c r="L79" s="31">
        <v>0.01</v>
      </c>
      <c r="M79" s="25" t="s">
        <v>53</v>
      </c>
      <c r="N79" s="13"/>
      <c r="O79" s="11" t="s">
        <v>111</v>
      </c>
      <c r="P79" s="13" t="s">
        <v>46</v>
      </c>
      <c r="Q79" s="14" t="s">
        <v>26</v>
      </c>
    </row>
    <row r="80" spans="1:17" hidden="1" x14ac:dyDescent="0.25">
      <c r="A80" s="1"/>
      <c r="B80" s="1" t="s">
        <v>395</v>
      </c>
      <c r="C80" s="1" t="s">
        <v>396</v>
      </c>
      <c r="D80" s="1">
        <v>25</v>
      </c>
      <c r="E80" s="1" t="s">
        <v>397</v>
      </c>
      <c r="F80" s="3" t="s">
        <v>398</v>
      </c>
      <c r="G80" s="8">
        <v>7.0000000000000007E-2</v>
      </c>
      <c r="H80" s="2">
        <f t="shared" si="5"/>
        <v>1.7500000000000002</v>
      </c>
      <c r="I80" s="34">
        <f t="shared" si="4"/>
        <v>45832.500000000007</v>
      </c>
      <c r="J80" s="13">
        <v>22</v>
      </c>
      <c r="K80" s="11" t="s">
        <v>52</v>
      </c>
      <c r="L80" s="31">
        <v>1E-3</v>
      </c>
      <c r="M80" s="25" t="s">
        <v>53</v>
      </c>
      <c r="N80" s="11" t="s">
        <v>331</v>
      </c>
      <c r="O80" s="11" t="s">
        <v>54</v>
      </c>
      <c r="P80" s="13" t="s">
        <v>46</v>
      </c>
      <c r="Q80" s="14" t="s">
        <v>26</v>
      </c>
    </row>
    <row r="81" spans="1:18" hidden="1" x14ac:dyDescent="0.25">
      <c r="A81" s="1"/>
      <c r="B81" s="1" t="s">
        <v>72</v>
      </c>
      <c r="C81" s="1" t="s">
        <v>72</v>
      </c>
      <c r="D81" s="1">
        <v>25</v>
      </c>
      <c r="E81" s="1" t="s">
        <v>73</v>
      </c>
      <c r="F81" s="3" t="s">
        <v>74</v>
      </c>
      <c r="G81" s="2">
        <v>0.1</v>
      </c>
      <c r="H81" s="2">
        <f t="shared" si="5"/>
        <v>2.5</v>
      </c>
      <c r="I81" s="34">
        <f t="shared" si="4"/>
        <v>65475</v>
      </c>
      <c r="J81" s="13">
        <v>0</v>
      </c>
      <c r="K81" s="13" t="s">
        <v>52</v>
      </c>
      <c r="L81" s="13"/>
      <c r="M81" s="25" t="s">
        <v>53</v>
      </c>
      <c r="N81" s="26"/>
      <c r="O81" s="13" t="s">
        <v>54</v>
      </c>
      <c r="P81" s="13" t="s">
        <v>46</v>
      </c>
      <c r="Q81" s="12" t="s">
        <v>26</v>
      </c>
    </row>
    <row r="82" spans="1:18" x14ac:dyDescent="0.25">
      <c r="A82" s="1"/>
      <c r="B82" s="1" t="s">
        <v>469</v>
      </c>
      <c r="C82" s="1" t="s">
        <v>470</v>
      </c>
      <c r="D82" s="1">
        <v>15</v>
      </c>
      <c r="E82" s="1" t="s">
        <v>471</v>
      </c>
      <c r="F82" s="3" t="s">
        <v>472</v>
      </c>
      <c r="G82" s="8">
        <v>8.2000000000000003E-2</v>
      </c>
      <c r="H82" s="2">
        <f t="shared" si="5"/>
        <v>1.23</v>
      </c>
      <c r="I82" s="34">
        <f t="shared" si="4"/>
        <v>32213.7</v>
      </c>
      <c r="J82" s="13" t="s">
        <v>399</v>
      </c>
      <c r="K82" s="11" t="s">
        <v>110</v>
      </c>
      <c r="L82" s="31">
        <v>0.01</v>
      </c>
      <c r="M82" s="25" t="s">
        <v>53</v>
      </c>
      <c r="N82" s="13"/>
      <c r="O82" s="11" t="s">
        <v>111</v>
      </c>
      <c r="P82" s="13" t="s">
        <v>46</v>
      </c>
      <c r="Q82" s="12" t="s">
        <v>26</v>
      </c>
      <c r="R82" s="44" t="s">
        <v>402</v>
      </c>
    </row>
    <row r="83" spans="1:18" x14ac:dyDescent="0.25">
      <c r="A83" s="1"/>
      <c r="B83" s="1" t="s">
        <v>465</v>
      </c>
      <c r="C83" s="1" t="s">
        <v>466</v>
      </c>
      <c r="D83" s="1">
        <v>10</v>
      </c>
      <c r="E83" s="1" t="s">
        <v>467</v>
      </c>
      <c r="F83" s="3" t="s">
        <v>468</v>
      </c>
      <c r="G83" s="8">
        <v>0.71299999999999997</v>
      </c>
      <c r="H83" s="2">
        <f t="shared" si="5"/>
        <v>7.13</v>
      </c>
      <c r="I83" s="34">
        <f t="shared" si="4"/>
        <v>186734.7</v>
      </c>
      <c r="J83" s="13" t="s">
        <v>400</v>
      </c>
      <c r="K83" s="11" t="s">
        <v>110</v>
      </c>
      <c r="L83" s="31">
        <v>0.01</v>
      </c>
      <c r="M83" s="25" t="s">
        <v>53</v>
      </c>
      <c r="N83" s="13"/>
      <c r="O83" s="11" t="s">
        <v>111</v>
      </c>
      <c r="P83" s="13" t="s">
        <v>46</v>
      </c>
      <c r="Q83" s="12" t="s">
        <v>26</v>
      </c>
      <c r="R83" s="44"/>
    </row>
    <row r="84" spans="1:18" x14ac:dyDescent="0.25">
      <c r="A84" s="1"/>
      <c r="B84" s="1" t="s">
        <v>460</v>
      </c>
      <c r="C84" s="1" t="s">
        <v>461</v>
      </c>
      <c r="D84" s="1">
        <v>25</v>
      </c>
      <c r="E84" s="1" t="s">
        <v>462</v>
      </c>
      <c r="F84" s="3" t="s">
        <v>463</v>
      </c>
      <c r="G84" s="8">
        <v>0.11799999999999999</v>
      </c>
      <c r="H84" s="2">
        <f t="shared" si="5"/>
        <v>2.9499999999999997</v>
      </c>
      <c r="I84" s="34">
        <f t="shared" si="4"/>
        <v>77260.5</v>
      </c>
      <c r="J84" s="13" t="s">
        <v>464</v>
      </c>
      <c r="K84" s="11" t="s">
        <v>110</v>
      </c>
      <c r="L84" s="31">
        <v>0.01</v>
      </c>
      <c r="M84" s="25" t="s">
        <v>53</v>
      </c>
      <c r="N84" s="13"/>
      <c r="O84" s="11" t="s">
        <v>111</v>
      </c>
      <c r="P84" s="13" t="s">
        <v>46</v>
      </c>
      <c r="Q84" s="12" t="s">
        <v>26</v>
      </c>
      <c r="R84" s="45"/>
    </row>
    <row r="85" spans="1:18" x14ac:dyDescent="0.25">
      <c r="A85" s="1"/>
      <c r="B85" s="1" t="s">
        <v>403</v>
      </c>
      <c r="C85" s="1" t="s">
        <v>404</v>
      </c>
      <c r="D85" s="1">
        <v>10</v>
      </c>
      <c r="E85" s="1" t="s">
        <v>405</v>
      </c>
      <c r="F85" s="3" t="s">
        <v>406</v>
      </c>
      <c r="G85" s="8">
        <v>0.59199999999999997</v>
      </c>
      <c r="H85" s="2">
        <f t="shared" si="5"/>
        <v>5.92</v>
      </c>
      <c r="I85" s="34">
        <f t="shared" si="4"/>
        <v>155044.79999999999</v>
      </c>
      <c r="J85" s="13" t="s">
        <v>407</v>
      </c>
      <c r="K85" s="11" t="s">
        <v>110</v>
      </c>
      <c r="L85" s="31">
        <v>0.01</v>
      </c>
      <c r="M85" s="25" t="s">
        <v>53</v>
      </c>
      <c r="N85" s="13"/>
      <c r="O85" s="11" t="s">
        <v>111</v>
      </c>
      <c r="P85" s="13" t="s">
        <v>46</v>
      </c>
      <c r="Q85" s="12" t="s">
        <v>26</v>
      </c>
    </row>
    <row r="86" spans="1:18" hidden="1" x14ac:dyDescent="0.25">
      <c r="A86" s="1"/>
      <c r="B86" s="1" t="s">
        <v>408</v>
      </c>
      <c r="C86" s="1" t="s">
        <v>409</v>
      </c>
      <c r="D86" s="1">
        <v>25</v>
      </c>
      <c r="E86" s="1" t="s">
        <v>410</v>
      </c>
      <c r="F86" s="3" t="s">
        <v>411</v>
      </c>
      <c r="G86" s="8">
        <v>0.115</v>
      </c>
      <c r="H86" s="2">
        <f t="shared" si="5"/>
        <v>2.875</v>
      </c>
      <c r="I86" s="34">
        <f t="shared" si="4"/>
        <v>75296.25</v>
      </c>
      <c r="J86" s="13" t="s">
        <v>121</v>
      </c>
      <c r="K86" s="10" t="s">
        <v>182</v>
      </c>
      <c r="L86" s="31">
        <v>0.05</v>
      </c>
      <c r="M86" s="25" t="s">
        <v>53</v>
      </c>
      <c r="N86" s="13"/>
      <c r="O86" s="10" t="s">
        <v>183</v>
      </c>
      <c r="P86" s="13" t="s">
        <v>46</v>
      </c>
      <c r="Q86" s="12" t="s">
        <v>26</v>
      </c>
    </row>
    <row r="87" spans="1:18" hidden="1" x14ac:dyDescent="0.25">
      <c r="A87" s="1"/>
      <c r="B87" s="1" t="s">
        <v>412</v>
      </c>
      <c r="C87" s="1" t="s">
        <v>413</v>
      </c>
      <c r="D87" s="1">
        <v>25</v>
      </c>
      <c r="E87" s="1" t="s">
        <v>414</v>
      </c>
      <c r="F87" s="3" t="s">
        <v>415</v>
      </c>
      <c r="G87" s="8">
        <v>0.115</v>
      </c>
      <c r="H87" s="2">
        <f t="shared" si="5"/>
        <v>2.875</v>
      </c>
      <c r="I87" s="34">
        <f>H87*26190</f>
        <v>75296.25</v>
      </c>
      <c r="J87" s="13" t="s">
        <v>416</v>
      </c>
      <c r="K87" s="10" t="s">
        <v>182</v>
      </c>
      <c r="L87" s="31">
        <v>0.05</v>
      </c>
      <c r="M87" s="25" t="s">
        <v>53</v>
      </c>
      <c r="N87" s="13"/>
      <c r="O87" s="10" t="s">
        <v>183</v>
      </c>
      <c r="P87" s="13" t="s">
        <v>46</v>
      </c>
      <c r="Q87" s="12" t="s">
        <v>26</v>
      </c>
    </row>
    <row r="88" spans="1:18" hidden="1" x14ac:dyDescent="0.25">
      <c r="A88" s="1"/>
      <c r="B88" s="1" t="s">
        <v>417</v>
      </c>
      <c r="C88" s="1" t="s">
        <v>418</v>
      </c>
      <c r="D88" s="1">
        <v>25</v>
      </c>
      <c r="E88" s="1" t="s">
        <v>419</v>
      </c>
      <c r="F88" s="3" t="s">
        <v>420</v>
      </c>
      <c r="G88" s="8">
        <v>0.115</v>
      </c>
      <c r="H88" s="2">
        <f t="shared" ref="H88:H95" si="6">G88*D88</f>
        <v>2.875</v>
      </c>
      <c r="I88" s="34">
        <f>H88*26190</f>
        <v>75296.25</v>
      </c>
      <c r="J88" s="13" t="s">
        <v>421</v>
      </c>
      <c r="K88" s="10" t="s">
        <v>182</v>
      </c>
      <c r="L88" s="31">
        <v>0.05</v>
      </c>
      <c r="M88" s="25" t="s">
        <v>53</v>
      </c>
      <c r="N88" s="13"/>
      <c r="O88" s="10" t="s">
        <v>183</v>
      </c>
      <c r="P88" s="13" t="s">
        <v>46</v>
      </c>
      <c r="Q88" s="12" t="s">
        <v>26</v>
      </c>
    </row>
    <row r="89" spans="1:18" x14ac:dyDescent="0.25">
      <c r="A89" s="1"/>
      <c r="B89" s="1" t="s">
        <v>422</v>
      </c>
      <c r="C89" s="1" t="s">
        <v>423</v>
      </c>
      <c r="D89" s="1">
        <v>25</v>
      </c>
      <c r="E89" s="1" t="s">
        <v>424</v>
      </c>
      <c r="F89" s="3" t="s">
        <v>425</v>
      </c>
      <c r="G89" s="8">
        <v>0.13</v>
      </c>
      <c r="H89" s="2">
        <f t="shared" si="6"/>
        <v>3.25</v>
      </c>
      <c r="I89" s="34">
        <f>H89*26190</f>
        <v>85117.5</v>
      </c>
      <c r="J89" s="13" t="s">
        <v>426</v>
      </c>
      <c r="K89" s="11" t="s">
        <v>110</v>
      </c>
      <c r="L89" s="31">
        <v>0.01</v>
      </c>
      <c r="M89" s="25" t="s">
        <v>53</v>
      </c>
      <c r="N89" s="13"/>
      <c r="O89" s="11" t="s">
        <v>111</v>
      </c>
      <c r="P89" s="13" t="s">
        <v>46</v>
      </c>
      <c r="Q89" s="14" t="s">
        <v>26</v>
      </c>
    </row>
    <row r="90" spans="1:18" x14ac:dyDescent="0.25">
      <c r="A90" s="1"/>
      <c r="B90" s="1" t="s">
        <v>427</v>
      </c>
      <c r="C90" s="1" t="s">
        <v>428</v>
      </c>
      <c r="D90" s="1">
        <v>10</v>
      </c>
      <c r="E90" s="1" t="s">
        <v>429</v>
      </c>
      <c r="F90" s="3" t="s">
        <v>430</v>
      </c>
      <c r="G90" s="8">
        <v>0.48599999999999999</v>
      </c>
      <c r="H90" s="2">
        <f t="shared" si="6"/>
        <v>4.8599999999999994</v>
      </c>
      <c r="I90" s="34">
        <f>H90*26190</f>
        <v>127283.39999999998</v>
      </c>
      <c r="J90" s="13" t="s">
        <v>431</v>
      </c>
      <c r="K90" s="11" t="s">
        <v>110</v>
      </c>
      <c r="L90" s="31">
        <v>0.01</v>
      </c>
      <c r="M90" s="25" t="s">
        <v>53</v>
      </c>
      <c r="N90" s="13"/>
      <c r="O90" s="11" t="s">
        <v>111</v>
      </c>
      <c r="P90" s="13" t="s">
        <v>46</v>
      </c>
      <c r="Q90" s="14" t="s">
        <v>26</v>
      </c>
      <c r="R90" s="44" t="s">
        <v>438</v>
      </c>
    </row>
    <row r="91" spans="1:18" x14ac:dyDescent="0.25">
      <c r="A91" s="1"/>
      <c r="B91" s="1" t="s">
        <v>432</v>
      </c>
      <c r="C91" s="1" t="s">
        <v>433</v>
      </c>
      <c r="D91" s="1">
        <v>50</v>
      </c>
      <c r="E91" s="1" t="s">
        <v>434</v>
      </c>
      <c r="F91" s="3" t="s">
        <v>435</v>
      </c>
      <c r="G91" s="8">
        <v>2.9000000000000001E-2</v>
      </c>
      <c r="H91" s="2">
        <f t="shared" si="6"/>
        <v>1.4500000000000002</v>
      </c>
      <c r="I91" s="34">
        <f>H91*26190</f>
        <v>37975.500000000007</v>
      </c>
      <c r="J91" s="13" t="s">
        <v>436</v>
      </c>
      <c r="K91" s="11" t="s">
        <v>110</v>
      </c>
      <c r="L91" s="31" t="s">
        <v>437</v>
      </c>
      <c r="M91" s="25" t="s">
        <v>53</v>
      </c>
      <c r="N91" s="13"/>
      <c r="O91" s="11" t="s">
        <v>111</v>
      </c>
      <c r="P91" s="13" t="s">
        <v>46</v>
      </c>
      <c r="Q91" s="14" t="s">
        <v>26</v>
      </c>
      <c r="R91" s="44"/>
    </row>
    <row r="92" spans="1:18" x14ac:dyDescent="0.25">
      <c r="A92" s="1"/>
      <c r="B92" s="1" t="s">
        <v>443</v>
      </c>
      <c r="C92" s="1" t="s">
        <v>444</v>
      </c>
      <c r="D92" s="1">
        <v>25</v>
      </c>
      <c r="E92" s="1" t="s">
        <v>445</v>
      </c>
      <c r="F92" s="3" t="s">
        <v>446</v>
      </c>
      <c r="G92" s="8">
        <v>0.184</v>
      </c>
      <c r="H92" s="2">
        <f t="shared" si="6"/>
        <v>4.5999999999999996</v>
      </c>
      <c r="I92" s="34">
        <f>H92*26190</f>
        <v>120473.99999999999</v>
      </c>
      <c r="J92" s="13" t="s">
        <v>439</v>
      </c>
      <c r="K92" s="11" t="s">
        <v>110</v>
      </c>
      <c r="L92" s="31">
        <v>0.01</v>
      </c>
      <c r="M92" s="25" t="s">
        <v>53</v>
      </c>
      <c r="N92" s="13"/>
      <c r="O92" s="11" t="s">
        <v>111</v>
      </c>
      <c r="P92" s="13" t="s">
        <v>46</v>
      </c>
      <c r="Q92" s="14" t="s">
        <v>26</v>
      </c>
      <c r="R92" s="44" t="s">
        <v>454</v>
      </c>
    </row>
    <row r="93" spans="1:18" x14ac:dyDescent="0.25">
      <c r="A93" s="1"/>
      <c r="B93" s="1" t="s">
        <v>440</v>
      </c>
      <c r="C93" s="1" t="s">
        <v>441</v>
      </c>
      <c r="D93" s="1">
        <v>10</v>
      </c>
      <c r="E93" s="1" t="s">
        <v>442</v>
      </c>
      <c r="F93" s="3" t="s">
        <v>447</v>
      </c>
      <c r="G93" s="8">
        <v>0.59599999999999997</v>
      </c>
      <c r="H93" s="2">
        <f t="shared" si="6"/>
        <v>5.96</v>
      </c>
      <c r="I93" s="34">
        <f>H93*26190</f>
        <v>156092.4</v>
      </c>
      <c r="J93" s="13" t="s">
        <v>448</v>
      </c>
      <c r="K93" s="11" t="s">
        <v>110</v>
      </c>
      <c r="L93" s="31">
        <v>0.01</v>
      </c>
      <c r="M93" s="25" t="s">
        <v>53</v>
      </c>
      <c r="N93" s="13"/>
      <c r="O93" s="11" t="s">
        <v>111</v>
      </c>
      <c r="P93" s="13" t="s">
        <v>46</v>
      </c>
      <c r="Q93" s="14" t="s">
        <v>26</v>
      </c>
      <c r="R93" s="44"/>
    </row>
    <row r="94" spans="1:18" x14ac:dyDescent="0.25">
      <c r="A94" s="1"/>
      <c r="B94" s="1" t="s">
        <v>449</v>
      </c>
      <c r="C94" s="1" t="s">
        <v>450</v>
      </c>
      <c r="D94" s="1">
        <v>25</v>
      </c>
      <c r="E94" s="1" t="s">
        <v>451</v>
      </c>
      <c r="F94" s="3" t="s">
        <v>452</v>
      </c>
      <c r="G94" s="8">
        <v>8.5999999999999993E-2</v>
      </c>
      <c r="H94" s="2">
        <f t="shared" si="6"/>
        <v>2.15</v>
      </c>
      <c r="I94" s="34">
        <f>H94*26190</f>
        <v>56308.5</v>
      </c>
      <c r="J94" s="13" t="s">
        <v>453</v>
      </c>
      <c r="K94" s="11" t="s">
        <v>110</v>
      </c>
      <c r="L94" s="31">
        <v>0.01</v>
      </c>
      <c r="M94" s="25" t="s">
        <v>53</v>
      </c>
      <c r="N94" s="13"/>
      <c r="O94" s="11" t="s">
        <v>111</v>
      </c>
      <c r="P94" s="13" t="s">
        <v>46</v>
      </c>
      <c r="Q94" s="14" t="s">
        <v>26</v>
      </c>
    </row>
    <row r="95" spans="1:18" x14ac:dyDescent="0.25">
      <c r="A95" s="1"/>
      <c r="B95" s="1" t="s">
        <v>455</v>
      </c>
      <c r="C95" s="1" t="s">
        <v>456</v>
      </c>
      <c r="D95" s="1">
        <v>25</v>
      </c>
      <c r="E95" s="1" t="s">
        <v>457</v>
      </c>
      <c r="F95" s="3" t="s">
        <v>458</v>
      </c>
      <c r="G95" s="8">
        <v>0.32200000000000001</v>
      </c>
      <c r="H95" s="2">
        <f t="shared" si="6"/>
        <v>8.0500000000000007</v>
      </c>
      <c r="I95" s="34">
        <f>H95*26190</f>
        <v>210829.50000000003</v>
      </c>
      <c r="J95" s="13" t="s">
        <v>459</v>
      </c>
      <c r="K95" s="11" t="s">
        <v>110</v>
      </c>
      <c r="L95" s="31">
        <v>0.01</v>
      </c>
      <c r="M95" s="25" t="s">
        <v>53</v>
      </c>
      <c r="N95" s="13"/>
      <c r="O95" s="11" t="s">
        <v>111</v>
      </c>
      <c r="P95" s="13" t="s">
        <v>46</v>
      </c>
      <c r="Q95" s="14" t="s">
        <v>26</v>
      </c>
    </row>
    <row r="96" spans="1:18" x14ac:dyDescent="0.25">
      <c r="A96" s="1"/>
      <c r="B96" s="1"/>
      <c r="C96" s="1"/>
      <c r="D96" s="1"/>
      <c r="E96" s="1"/>
      <c r="F96" s="3"/>
      <c r="G96" s="8"/>
      <c r="H96" s="2"/>
      <c r="I96" s="34"/>
      <c r="J96" s="13"/>
      <c r="K96" s="10"/>
      <c r="L96" s="31"/>
      <c r="M96" s="25"/>
      <c r="N96" s="13"/>
      <c r="O96" s="10"/>
      <c r="P96" s="13"/>
      <c r="Q96" s="12"/>
    </row>
    <row r="97" spans="1:17" x14ac:dyDescent="0.25">
      <c r="A97" s="1"/>
      <c r="B97" s="1"/>
      <c r="C97" s="1"/>
      <c r="D97" s="1"/>
      <c r="E97" s="1"/>
      <c r="F97" s="3"/>
      <c r="G97" s="8"/>
      <c r="H97" s="2"/>
      <c r="I97" s="34"/>
      <c r="J97" s="13"/>
      <c r="K97" s="11"/>
      <c r="L97" s="31"/>
      <c r="M97" s="25"/>
      <c r="N97" s="13"/>
      <c r="O97" s="11"/>
      <c r="P97" s="13"/>
      <c r="Q97" s="1"/>
    </row>
    <row r="98" spans="1:17" x14ac:dyDescent="0.25">
      <c r="A98" s="1"/>
      <c r="B98" s="1"/>
      <c r="C98" s="1"/>
      <c r="D98" s="1"/>
      <c r="E98" s="1"/>
      <c r="F98" s="3"/>
      <c r="G98" s="8"/>
      <c r="H98" s="2"/>
      <c r="I98" s="34"/>
      <c r="J98" s="13"/>
      <c r="K98" s="11"/>
      <c r="L98" s="31"/>
      <c r="M98" s="25"/>
      <c r="N98" s="13"/>
      <c r="O98" s="11"/>
      <c r="P98" s="13"/>
      <c r="Q98" s="1"/>
    </row>
    <row r="99" spans="1:17" x14ac:dyDescent="0.25">
      <c r="A99" s="1"/>
      <c r="B99" s="1"/>
      <c r="C99" s="1"/>
      <c r="D99" s="1"/>
      <c r="E99" s="6"/>
      <c r="F99" s="1"/>
      <c r="G99" s="8"/>
      <c r="H99" s="2"/>
      <c r="I99" s="34"/>
      <c r="J99" s="13"/>
      <c r="K99" s="13"/>
      <c r="L99" s="31"/>
      <c r="M99" s="13"/>
      <c r="N99" s="13"/>
      <c r="O99" s="13"/>
      <c r="P99" s="13"/>
      <c r="Q99" s="1"/>
    </row>
  </sheetData>
  <autoFilter ref="A1:R95" xr:uid="{DBEA4F97-B59B-4A33-BD02-D62B07553550}">
    <filterColumn colId="14">
      <filters>
        <filter val="Capacitor"/>
      </filters>
    </filterColumn>
    <filterColumn colId="15">
      <filters>
        <filter val="Done"/>
        <filter val="Ordering"/>
      </filters>
    </filterColumn>
  </autoFilter>
  <mergeCells count="4">
    <mergeCell ref="R82:R83"/>
    <mergeCell ref="R26:R27"/>
    <mergeCell ref="R90:R91"/>
    <mergeCell ref="R92:R93"/>
  </mergeCells>
  <hyperlinks>
    <hyperlink ref="F3" r:id="rId1" xr:uid="{E1B3D47C-8AA1-46DF-83DD-AA6F40775BB2}"/>
    <hyperlink ref="F2" r:id="rId2" xr:uid="{23A32C62-9B28-440C-B23E-5DB6EF0A2F5B}"/>
    <hyperlink ref="F4" r:id="rId3" xr:uid="{63231005-3610-4047-A930-0C8235007B7D}"/>
    <hyperlink ref="F5" r:id="rId4" xr:uid="{36FD7FF0-3629-43C1-9E2C-4A6B624D94FB}"/>
    <hyperlink ref="F6" r:id="rId5" xr:uid="{8C061200-F099-4AB3-8CAF-BAAF1BBD75AB}"/>
    <hyperlink ref="F7" r:id="rId6" xr:uid="{68125ACD-B3BD-4C09-A2CB-7D7A6FDB4268}"/>
    <hyperlink ref="F8" r:id="rId7" xr:uid="{D6B308EE-B809-442F-A6DA-209D4B3BEB67}"/>
    <hyperlink ref="F10" r:id="rId8" xr:uid="{EBD944EA-0D84-48A2-B606-EB3D9FD3BF54}"/>
    <hyperlink ref="F9" r:id="rId9" xr:uid="{D69AE04B-8600-4349-BD1A-89EBBA805451}"/>
    <hyperlink ref="F11" r:id="rId10" xr:uid="{748E09FA-C8EE-4909-B0F3-6165629C6858}"/>
    <hyperlink ref="F12" r:id="rId11" xr:uid="{D9637337-7E31-419D-BBC5-DC13E7BA38F1}"/>
    <hyperlink ref="F14" r:id="rId12" xr:uid="{B650F7AC-58E4-4915-A08B-FFAF349D23F8}"/>
    <hyperlink ref="F15" r:id="rId13" xr:uid="{D0C1E6F4-CB69-4FEF-869A-A7FC116FD6D9}"/>
    <hyperlink ref="F16" r:id="rId14" xr:uid="{7C6824EF-DC50-4130-A39D-6D99DE2168AA}"/>
    <hyperlink ref="F17" r:id="rId15" xr:uid="{4344BB84-3514-44A7-83ED-DBFA3C037823}"/>
    <hyperlink ref="F18" r:id="rId16" xr:uid="{5095DC33-6AE5-4287-A33B-A7374AF132D6}"/>
    <hyperlink ref="F19" r:id="rId17" xr:uid="{FEF0BB3A-D501-45D5-BB84-3114EE589F19}"/>
    <hyperlink ref="F20" r:id="rId18" xr:uid="{407B34D4-B559-4C34-9074-D83434E070EE}"/>
    <hyperlink ref="F21" r:id="rId19" xr:uid="{F079B4CB-D37E-499A-907F-A661D25D8A31}"/>
    <hyperlink ref="F22" r:id="rId20" xr:uid="{5C5E7C51-EFE9-4E8D-AD5E-CF509C43EAB5}"/>
    <hyperlink ref="F23" r:id="rId21" xr:uid="{B3CA67B4-F01D-4EC7-BF23-45050E947B90}"/>
    <hyperlink ref="F24" r:id="rId22" xr:uid="{4094A24D-D647-46E4-81FF-9CB53575DFC7}"/>
    <hyperlink ref="F25" r:id="rId23" xr:uid="{6ED89482-3772-4297-8BC9-B5600A0FF492}"/>
    <hyperlink ref="F26" r:id="rId24" xr:uid="{0034A981-295C-4956-96B6-CBD23223ADC7}"/>
    <hyperlink ref="F27" r:id="rId25" xr:uid="{7CC7D326-247A-4983-8552-236655E4CFC3}"/>
    <hyperlink ref="F28" r:id="rId26" xr:uid="{14ADE602-7723-4075-B9F3-0CD1DFA20D92}"/>
    <hyperlink ref="F29" r:id="rId27" xr:uid="{126970CC-B1DE-4D8B-8AC0-C02F7FD24E46}"/>
    <hyperlink ref="F30" r:id="rId28" xr:uid="{D0259BE7-4411-4BFF-A2F0-E7C83A1FA901}"/>
    <hyperlink ref="F31" r:id="rId29" display="https://www.digikey.com/en/products/detail/panasonic-electronic-components/ERJ-3EKF49R9V/196378" xr:uid="{14C99A9D-E2AC-4766-AC5D-E1726F2771DF}"/>
    <hyperlink ref="F32" r:id="rId30" xr:uid="{AA0820CD-3FF1-4DA8-BE3A-115B9B96FA9C}"/>
    <hyperlink ref="F33" r:id="rId31" xr:uid="{F05FEF12-093A-4F9A-B592-318D20125ACB}"/>
    <hyperlink ref="F34" r:id="rId32" xr:uid="{EED870F9-9F98-4998-84FB-192D86F546F1}"/>
    <hyperlink ref="F35" r:id="rId33" xr:uid="{BB6DE529-53F6-48DF-9F6C-488CC684CC45}"/>
    <hyperlink ref="F36" r:id="rId34" xr:uid="{3FA2309B-2B9D-4739-9931-D714D4A85D71}"/>
    <hyperlink ref="F37" r:id="rId35" xr:uid="{8E47A486-B261-46A7-B281-EF714F4C30D3}"/>
    <hyperlink ref="F38" r:id="rId36" xr:uid="{A1C7551C-2658-4D4B-9482-D65254232235}"/>
    <hyperlink ref="F39" r:id="rId37" xr:uid="{38DD05ED-E120-4185-A00E-0DCE14DEB7A1}"/>
    <hyperlink ref="F40" r:id="rId38" xr:uid="{9F58C96C-23F9-4A29-AC3A-B186B3F227DD}"/>
    <hyperlink ref="F41" r:id="rId39" xr:uid="{79E9CF0C-1E3C-4056-A5EC-EC59538B1F42}"/>
    <hyperlink ref="F42" r:id="rId40" xr:uid="{7CBB2853-741F-4DDB-B4AA-41E054AF2DE4}"/>
    <hyperlink ref="F43" r:id="rId41" xr:uid="{41F0ABDE-37A7-4EA2-AC85-7310DD79AE06}"/>
    <hyperlink ref="F44" r:id="rId42" xr:uid="{4BA5681B-902A-4917-BA0C-9AA089D1329F}"/>
    <hyperlink ref="F45" r:id="rId43" xr:uid="{1EEEA731-28CE-4CED-AAA4-2F3E7FFAD274}"/>
    <hyperlink ref="F46" r:id="rId44" xr:uid="{776279AE-5059-4434-BFC0-E47E2752300A}"/>
    <hyperlink ref="F47" r:id="rId45" xr:uid="{12716EE2-F5B1-4FD7-815F-8DC32AA14768}"/>
    <hyperlink ref="F48" r:id="rId46" xr:uid="{ABC6DD3C-8AA9-4680-B9E9-248C17895986}"/>
    <hyperlink ref="F49" r:id="rId47" xr:uid="{AB47E613-17C5-4DED-833E-D13455BF2331}"/>
    <hyperlink ref="F50" r:id="rId48" xr:uid="{E7DFC77B-17F0-4211-B3FD-63C3DCE95689}"/>
    <hyperlink ref="F51" r:id="rId49" xr:uid="{E133F1EC-442B-4315-8DEC-4FE52A0CE575}"/>
    <hyperlink ref="F52" r:id="rId50" xr:uid="{12537871-9F36-474D-B486-45CA055B5EC4}"/>
    <hyperlink ref="F53" r:id="rId51" xr:uid="{29066D53-30B9-4D90-9BB9-67D152FC2219}"/>
    <hyperlink ref="F55" r:id="rId52" xr:uid="{CE20E556-8206-44C4-9E28-4C83113C9F13}"/>
    <hyperlink ref="F54" r:id="rId53" xr:uid="{ED608CC9-0CA9-49DE-B614-FD699107BE24}"/>
    <hyperlink ref="F56" r:id="rId54" xr:uid="{8EBEE1EE-9694-46A2-9726-060CC6F5D4F3}"/>
    <hyperlink ref="F57" r:id="rId55" xr:uid="{7BE12CFF-2288-42B0-AEB0-C5F3B9E54C74}"/>
    <hyperlink ref="F58" r:id="rId56" xr:uid="{1B1C01DA-8445-4411-8490-15CD54C367D3}"/>
    <hyperlink ref="F59" r:id="rId57" xr:uid="{0D156B22-04B3-4675-8907-B9ACD3AAB413}"/>
    <hyperlink ref="F60" r:id="rId58" xr:uid="{6F11868A-1B10-45B7-AB6E-FD6BA8CB24E0}"/>
    <hyperlink ref="F61" r:id="rId59" xr:uid="{28529B1E-0A4F-4286-BE07-4296CE7B8B79}"/>
    <hyperlink ref="F62" r:id="rId60" xr:uid="{EF9ED7A8-23AD-4144-B007-10866E24153D}"/>
    <hyperlink ref="F63" r:id="rId61" xr:uid="{816D965F-DDC9-43F7-8DEA-4D546D20C2D0}"/>
    <hyperlink ref="F64" r:id="rId62" xr:uid="{A418F290-2D58-4834-A192-B39226E8C34B}"/>
    <hyperlink ref="F65" r:id="rId63" xr:uid="{55BF72C1-9316-4076-B984-8762A129E2C8}"/>
    <hyperlink ref="F66" r:id="rId64" xr:uid="{260BDE02-C2A3-418B-9F06-560FB35BC1DB}"/>
    <hyperlink ref="F67" r:id="rId65" xr:uid="{0A45A6A0-98E0-4F7B-9411-39A5FFC3FAAE}"/>
    <hyperlink ref="F68" r:id="rId66" xr:uid="{0FF4F716-C121-46F1-84C1-BBA4258B20C9}"/>
    <hyperlink ref="F69" r:id="rId67" xr:uid="{C9770F36-39C7-4DB3-9846-5AAEB0E92A82}"/>
    <hyperlink ref="F70" r:id="rId68" xr:uid="{5EC631AE-EB1C-4AC3-810E-B925A39CF545}"/>
    <hyperlink ref="F71" r:id="rId69" xr:uid="{3CA1BB36-2B6F-471B-B8AC-68091D230868}"/>
    <hyperlink ref="F72" r:id="rId70" xr:uid="{7263274F-C59A-4DAA-BCEE-3769687DE459}"/>
    <hyperlink ref="F73" r:id="rId71" xr:uid="{74DD422B-1E61-4A3E-8BB6-68C065649A54}"/>
    <hyperlink ref="F74" r:id="rId72" xr:uid="{25C9AD29-DC79-411D-9AB8-A3A7C8E82013}"/>
    <hyperlink ref="F75" r:id="rId73" xr:uid="{DAD67F27-0653-4F3F-A436-BAA090EEF0AD}"/>
    <hyperlink ref="F76" r:id="rId74" xr:uid="{655B99AF-8861-4311-BE72-378CD84A15E0}"/>
    <hyperlink ref="F77" r:id="rId75" xr:uid="{9DEE9F6D-68B7-4F77-BDE6-FEA61C68538A}"/>
    <hyperlink ref="F78" r:id="rId76" xr:uid="{1D4D369E-0485-4090-BEDA-8161F440F63A}"/>
    <hyperlink ref="F79" r:id="rId77" xr:uid="{627391B4-F875-422F-99C5-579D5EF5F841}"/>
    <hyperlink ref="F13" r:id="rId78" xr:uid="{78637895-2583-406F-BC14-77083EA301C2}"/>
    <hyperlink ref="F80" r:id="rId79" xr:uid="{26136A53-7482-49D8-8CA2-C6FA62E5AB5F}"/>
    <hyperlink ref="F81" r:id="rId80" xr:uid="{0A4FD9DD-C69D-4F12-A5C9-2A9CD63FF61D}"/>
    <hyperlink ref="F82" r:id="rId81" xr:uid="{D79C6C1B-9765-4755-B56E-7562D8C23472}"/>
    <hyperlink ref="F83" r:id="rId82" xr:uid="{05B6AA61-3E6F-465D-B61B-643367705D76}"/>
    <hyperlink ref="F85" r:id="rId83" xr:uid="{E426C0F4-7D6F-48A9-A06A-09955F5A8B71}"/>
    <hyperlink ref="F86" r:id="rId84" xr:uid="{866B7205-116E-494A-9EE2-BD07F7BD7D0E}"/>
    <hyperlink ref="F87" r:id="rId85" xr:uid="{A32E1548-5563-484F-A257-8682678CBE8F}"/>
    <hyperlink ref="F88" r:id="rId86" xr:uid="{CBC94828-D423-4315-979F-E3AA691F5065}"/>
    <hyperlink ref="F89" r:id="rId87" xr:uid="{0A25BD66-0773-4036-A684-0398AAB69A08}"/>
    <hyperlink ref="F90" r:id="rId88" xr:uid="{550BB741-587B-49EA-A892-D9719F226C33}"/>
    <hyperlink ref="F91" r:id="rId89" xr:uid="{621CCE92-9343-4046-A6B8-49D440C97C98}"/>
    <hyperlink ref="F92" r:id="rId90" xr:uid="{B285B4ED-7780-4EC6-BBCC-C57D32253890}"/>
    <hyperlink ref="F93" r:id="rId91" xr:uid="{9525CD7F-63D4-4DFE-8A99-6DACA14176F2}"/>
    <hyperlink ref="F94" r:id="rId92" xr:uid="{0059B3A4-A77A-486A-A229-902A22AB1775}"/>
    <hyperlink ref="F95" r:id="rId93" xr:uid="{FDAEAB9C-11DB-484B-A9F7-3D9FDAAF7B03}"/>
    <hyperlink ref="F84" r:id="rId94" xr:uid="{AEBD6C34-8EAE-4331-ACB9-73BDE8F8B2A7}"/>
  </hyperlinks>
  <pageMargins left="0.7" right="0.7" top="0.75" bottom="0.75" header="0.3" footer="0.3"/>
  <pageSetup orientation="portrait" r:id="rId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C16A-1272-4944-B7BA-BC8B252A8AB6}">
  <dimension ref="A1:Q3"/>
  <sheetViews>
    <sheetView workbookViewId="0">
      <selection activeCell="Q9" sqref="Q9"/>
    </sheetView>
  </sheetViews>
  <sheetFormatPr defaultRowHeight="15" x14ac:dyDescent="0.25"/>
  <sheetData>
    <row r="1" spans="1:17" ht="60" x14ac:dyDescent="0.25">
      <c r="A1" s="23" t="s">
        <v>0</v>
      </c>
      <c r="B1" s="21" t="s">
        <v>1</v>
      </c>
      <c r="C1" s="21" t="s">
        <v>2</v>
      </c>
      <c r="D1" s="21" t="s">
        <v>3</v>
      </c>
      <c r="E1" s="22" t="s">
        <v>4</v>
      </c>
      <c r="F1" s="21" t="s">
        <v>5</v>
      </c>
      <c r="G1" s="22" t="s">
        <v>6</v>
      </c>
      <c r="H1" s="22" t="s">
        <v>7</v>
      </c>
      <c r="I1" s="22" t="s">
        <v>8</v>
      </c>
      <c r="J1" s="24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</row>
    <row r="2" spans="1:17" x14ac:dyDescent="0.25">
      <c r="A2">
        <v>1</v>
      </c>
    </row>
    <row r="3" spans="1:17" x14ac:dyDescent="0.25">
      <c r="A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Khôi</vt:lpstr>
      <vt:lpstr>Nga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Khôi Võ Tấn</dc:creator>
  <cp:keywords/>
  <dc:description/>
  <cp:lastModifiedBy>Minh Khôi Võ Tấn</cp:lastModifiedBy>
  <cp:revision/>
  <dcterms:created xsi:type="dcterms:W3CDTF">2026-03-08T12:06:42Z</dcterms:created>
  <dcterms:modified xsi:type="dcterms:W3CDTF">2026-04-09T17:36:20Z</dcterms:modified>
  <cp:category/>
  <cp:contentStatus/>
</cp:coreProperties>
</file>