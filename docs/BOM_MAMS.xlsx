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119" documentId="8_{692D0F4F-7E4A-4FB6-B185-273593DFA5BB}" xr6:coauthVersionLast="47" xr6:coauthVersionMax="47" xr10:uidLastSave="{4D8B0712-FD41-46D7-A147-EAAE53574AE1}"/>
  <bookViews>
    <workbookView xWindow="-120" yWindow="-120" windowWidth="38640" windowHeight="21120" xr2:uid="{31CB3DE3-ED4B-4D40-BA7C-ABCB199A1E4A}"/>
  </bookViews>
  <sheets>
    <sheet name="Khôi" sheetId="1" r:id="rId1"/>
  </sheets>
  <definedNames>
    <definedName name="_xlnm._FilterDatabase" localSheetId="0" hidden="1">Khôi!$A$1:$P$67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" i="1" l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S3" i="1" l="1"/>
  <c r="S2" i="1"/>
  <c r="S4" i="1" s="1"/>
</calcChain>
</file>

<file path=xl/sharedStrings.xml><?xml version="1.0" encoding="utf-8"?>
<sst xmlns="http://schemas.openxmlformats.org/spreadsheetml/2006/main" count="617" uniqueCount="332">
  <si>
    <t>No.</t>
  </si>
  <si>
    <t>DigiKey Part Number</t>
  </si>
  <si>
    <t>Manufacturer Product Number</t>
  </si>
  <si>
    <t>Description</t>
  </si>
  <si>
    <t>Total Price (VND)</t>
  </si>
  <si>
    <t>Link DigitalKey</t>
  </si>
  <si>
    <t>CAP CER 0.1UF 50V X7R 0402</t>
  </si>
  <si>
    <t>Quant.</t>
  </si>
  <si>
    <t>Price per Unit ($)</t>
  </si>
  <si>
    <t>Total Price ($)</t>
  </si>
  <si>
    <t>status</t>
  </si>
  <si>
    <t>Category</t>
  </si>
  <si>
    <t>Value</t>
  </si>
  <si>
    <t>Unit</t>
  </si>
  <si>
    <t>Package</t>
  </si>
  <si>
    <t>Sub-System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</si>
  <si>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</si>
  <si>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</si>
  <si>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</si>
  <si>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</si>
  <si>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</si>
  <si>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Ordering</t>
  </si>
  <si>
    <t>IC</t>
  </si>
  <si>
    <t>NaN</t>
  </si>
  <si>
    <t>N/A</t>
  </si>
  <si>
    <t>20-TSSOP</t>
  </si>
  <si>
    <t>DDS</t>
  </si>
  <si>
    <t>EIM</t>
  </si>
  <si>
    <t>Total cost USDT</t>
  </si>
  <si>
    <t>505-AD8302ARUZ-ND</t>
  </si>
  <si>
    <t>AD8302ARUZ</t>
  </si>
  <si>
    <t>IC RF DETECT 2.7GHZ 14TSSOP</t>
  </si>
  <si>
    <t>14-TSSOP</t>
  </si>
  <si>
    <t xml:space="preserve">Gain/Phase 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</si>
  <si>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</si>
  <si>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</si>
  <si>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</si>
  <si>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</si>
  <si>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</si>
  <si>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uC</t>
  </si>
  <si>
    <t>64-LQFP (10x10)</t>
  </si>
  <si>
    <t>MCU</t>
  </si>
  <si>
    <t>Total Cost China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</si>
  <si>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</si>
  <si>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</si>
  <si>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</si>
  <si>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</si>
  <si>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</si>
  <si>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Diff-to-Single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</si>
  <si>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</si>
  <si>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</si>
  <si>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</si>
  <si>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</si>
  <si>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Resistor</t>
  </si>
  <si>
    <t>6K8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</si>
  <si>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</si>
  <si>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</si>
  <si>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</si>
  <si>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</si>
  <si>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</si>
  <si>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</si>
  <si>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</si>
  <si>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</si>
  <si>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</si>
  <si>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</si>
  <si>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</si>
  <si>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</si>
  <si>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</si>
  <si>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</si>
  <si>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1K78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</si>
  <si>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</si>
  <si>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</si>
  <si>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</si>
  <si>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</si>
  <si>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</si>
  <si>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</si>
  <si>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</si>
  <si>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</si>
  <si>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</si>
  <si>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</si>
  <si>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</si>
  <si>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</si>
  <si>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</si>
  <si>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</si>
  <si>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TNPW06031K78BEEA Vishay Dale | Resistors | DigiKey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</si>
  <si>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</si>
  <si>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</si>
  <si>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</si>
  <si>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</si>
  <si>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</si>
  <si>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</si>
  <si>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</si>
  <si>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</si>
  <si>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2K70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</si>
  <si>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</si>
  <si>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</si>
  <si>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</si>
  <si>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</si>
  <si>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</si>
  <si>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</si>
  <si>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</si>
  <si>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</si>
  <si>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</si>
  <si>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</si>
  <si>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</si>
  <si>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</si>
  <si>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</si>
  <si>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</si>
  <si>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</si>
  <si>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</si>
  <si>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</si>
  <si>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Capacitor</t>
  </si>
  <si>
    <t>20p</t>
  </si>
  <si>
    <t>Farad (F)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</si>
  <si>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</si>
  <si>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</si>
  <si>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</si>
  <si>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</si>
  <si>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</si>
  <si>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</si>
  <si>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</si>
  <si>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</si>
  <si>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</si>
  <si>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</si>
  <si>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</si>
  <si>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</si>
  <si>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</si>
  <si>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</si>
  <si>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1pF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</si>
  <si>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</si>
  <si>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</si>
  <si>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</si>
  <si>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</si>
  <si>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</si>
  <si>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2.2uF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</si>
  <si>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</si>
  <si>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</si>
  <si>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</si>
  <si>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</si>
  <si>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</si>
  <si>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180p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</si>
  <si>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</si>
  <si>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</si>
  <si>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</si>
  <si>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</si>
  <si>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300p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</si>
  <si>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</si>
  <si>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</si>
  <si>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</si>
  <si>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</si>
  <si>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330p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</si>
  <si>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</si>
  <si>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</si>
  <si>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</si>
  <si>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</si>
  <si>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270p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</si>
  <si>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</si>
  <si>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</si>
  <si>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</si>
  <si>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</si>
  <si>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47p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</si>
  <si>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</si>
  <si>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</si>
  <si>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</si>
  <si>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</si>
  <si>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</si>
  <si>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</si>
  <si>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</si>
  <si>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</si>
  <si>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10000p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</si>
  <si>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</si>
  <si>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</si>
  <si>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</si>
  <si>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</si>
  <si>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</si>
  <si>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</si>
  <si>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</si>
  <si>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</si>
  <si>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</si>
  <si>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Filter Driver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</si>
  <si>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</si>
  <si>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</si>
  <si>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</si>
  <si>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</si>
  <si>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Inductor</t>
  </si>
  <si>
    <t>270n</t>
  </si>
  <si>
    <t>Henry (H)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</si>
  <si>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</si>
  <si>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</si>
  <si>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</si>
  <si>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</si>
  <si>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</si>
  <si>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</si>
  <si>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</si>
  <si>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</si>
  <si>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</si>
  <si>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</si>
  <si>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</si>
  <si>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</si>
  <si>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</si>
  <si>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</si>
  <si>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Ocsillator</t>
  </si>
  <si>
    <t>75M</t>
  </si>
  <si>
    <t>Hertz (Hz)</t>
  </si>
  <si>
    <t>4-SMD</t>
  </si>
  <si>
    <t>296-50411-1-ND</t>
  </si>
  <si>
    <t>TLV75533PDBVR</t>
  </si>
  <si>
    <t>IC REG LINEAR 3.3V 500MA (LDO for AVDD/DVDD as needed)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</si>
  <si>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</si>
  <si>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</si>
  <si>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</si>
  <si>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</si>
  <si>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</si>
  <si>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</si>
  <si>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FUSE</t>
  </si>
  <si>
    <t>1206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</si>
  <si>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</si>
  <si>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</si>
  <si>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</si>
  <si>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</si>
  <si>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Diode</t>
  </si>
  <si>
    <t>SOD-123F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</si>
  <si>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</si>
  <si>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</si>
  <si>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</si>
  <si>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</si>
  <si>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</si>
  <si>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</si>
  <si>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</si>
  <si>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</si>
  <si>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22uF</t>
  </si>
  <si>
    <t>490-10700-1-ND</t>
  </si>
  <si>
    <t>https://www.digikey.sg/en/products/detail/murata-electronics/grm155r71h104ke14d/4906220</t>
  </si>
  <si>
    <t>0.1uF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</si>
  <si>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</si>
  <si>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</si>
  <si>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</si>
  <si>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</si>
  <si>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</si>
  <si>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</si>
  <si>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</si>
  <si>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</si>
  <si>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</si>
  <si>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</si>
  <si>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</si>
  <si>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</si>
  <si>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</si>
  <si>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</si>
  <si>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</si>
  <si>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</si>
  <si>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</si>
  <si>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</si>
  <si>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</si>
  <si>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</si>
  <si>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</si>
  <si>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</si>
  <si>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</si>
  <si>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</si>
  <si>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</si>
  <si>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</si>
  <si>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10uF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</si>
  <si>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</si>
  <si>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</si>
  <si>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</si>
  <si>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</si>
  <si>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</si>
  <si>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</si>
  <si>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</si>
  <si>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</si>
  <si>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</si>
  <si>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0.04u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</si>
  <si>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</si>
  <si>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</si>
  <si>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</si>
  <si>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</si>
  <si>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</si>
  <si>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</si>
  <si>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</si>
  <si>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</si>
  <si>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</si>
  <si>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0.68u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</si>
  <si>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</si>
  <si>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</si>
  <si>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</si>
  <si>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</si>
  <si>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100p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</si>
  <si>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</si>
  <si>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</si>
  <si>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</si>
  <si>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</si>
  <si>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</si>
  <si>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</si>
  <si>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</si>
  <si>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</si>
  <si>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</si>
  <si>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</si>
  <si>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</si>
  <si>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</si>
  <si>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</si>
  <si>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</si>
  <si>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</si>
  <si>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</si>
  <si>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</si>
  <si>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</si>
  <si>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</si>
  <si>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</si>
  <si>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</si>
  <si>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</si>
  <si>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</si>
  <si>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</si>
  <si>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</si>
  <si>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</si>
  <si>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</si>
  <si>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</si>
  <si>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</si>
  <si>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</si>
  <si>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</si>
  <si>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150pF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</si>
  <si>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</si>
  <si>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</si>
  <si>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</si>
  <si>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</si>
  <si>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33p</t>
  </si>
  <si>
    <t>Next order</t>
  </si>
  <si>
    <t>NIR</t>
  </si>
  <si>
    <t>https://www.mouser.vn/ProductDetail/Analog-Devices/AD8302ARUZ-RL7?qs=%2FtpEQrCGXCxf7u2FSUHSPQ%3D%3D</t>
  </si>
  <si>
    <t>Ordering-Mouser</t>
  </si>
  <si>
    <t>TPD2E2U06QDBZRQ1</t>
  </si>
  <si>
    <t>296-40695-1-ND</t>
  </si>
  <si>
    <t>TVS DIODE 5.5VWM 12.4VC SOT23-3</t>
  </si>
  <si>
    <t>https://www.digikey.com/en/products/detail/texas-instruments/TPD2E2U06QDBZRQ1/5056067</t>
  </si>
  <si>
    <t>Back-order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</si>
</sst>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VND]\ #,##0_);[Red]\([$VND]\ #,##0\)"/>
    <numFmt numFmtId="166" formatCode="[$¥-804]#,##0;[Red][$¥-804]\-#,##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0" applyNumberFormat="0" applyFill="0" applyBorder="0" applyAlignment="0" applyProtection="0"/>
  </cellStyleXfs>
  <cellXfs count="52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3" fillId="0" borderId="2" xfId="3" applyBorder="1"/>
    <xf numFmtId="0" fontId="0" fillId="0" borderId="3" xfId="0" applyBorder="1" applyAlignment="1">
      <alignment horizontal="right"/>
    </xf>
    <xf numFmtId="0" fontId="0" fillId="0" borderId="3" xfId="0" applyBorder="1"/>
    <xf numFmtId="0" fontId="1" fillId="3" borderId="4" xfId="2" applyBorder="1" applyAlignment="1">
      <alignment horizontal="center" vertical="center"/>
    </xf>
    <xf numFmtId="164" fontId="0" fillId="5" borderId="2" xfId="0" applyNumberFormat="1" applyFill="1" applyBorder="1"/>
    <xf numFmtId="165" fontId="0" fillId="5" borderId="2" xfId="0" applyNumberFormat="1" applyFill="1" applyBorder="1"/>
    <xf numFmtId="0" fontId="3" fillId="5" borderId="2" xfId="3" applyFill="1" applyBorder="1"/>
    <xf numFmtId="0" fontId="0" fillId="5" borderId="2" xfId="0" applyFill="1" applyBorder="1"/>
    <xf numFmtId="0" fontId="6" fillId="5" borderId="4" xfId="0" applyFont="1" applyFill="1" applyBorder="1"/>
    <xf numFmtId="0" fontId="0" fillId="5" borderId="4" xfId="0" applyFill="1" applyBorder="1"/>
    <xf numFmtId="164" fontId="6" fillId="5" borderId="4" xfId="0" applyNumberFormat="1" applyFont="1" applyFill="1" applyBorder="1"/>
    <xf numFmtId="165" fontId="6" fillId="5" borderId="4" xfId="0" applyNumberFormat="1" applyFont="1" applyFill="1" applyBorder="1"/>
    <xf numFmtId="0" fontId="3" fillId="5" borderId="4" xfId="3" applyFill="1" applyBorder="1"/>
    <xf numFmtId="0" fontId="2" fillId="5" borderId="4" xfId="0" applyFont="1" applyFill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 applyAlignment="1">
      <alignment horizontal="left"/>
    </xf>
    <xf numFmtId="0" fontId="0" fillId="5" borderId="7" xfId="0" applyFill="1" applyBorder="1"/>
    <xf numFmtId="0" fontId="1" fillId="2" borderId="4" xfId="1" applyBorder="1" applyAlignment="1">
      <alignment horizontal="center" vertical="center"/>
    </xf>
    <xf numFmtId="0" fontId="6" fillId="5" borderId="2" xfId="0" applyFont="1" applyFill="1" applyBorder="1"/>
    <xf numFmtId="164" fontId="6" fillId="5" borderId="2" xfId="0" applyNumberFormat="1" applyFont="1" applyFill="1" applyBorder="1"/>
    <xf numFmtId="165" fontId="6" fillId="5" borderId="2" xfId="0" applyNumberFormat="1" applyFont="1" applyFill="1" applyBorder="1"/>
    <xf numFmtId="0" fontId="7" fillId="5" borderId="2" xfId="3" applyFont="1" applyFill="1" applyBorder="1"/>
    <xf numFmtId="0" fontId="6" fillId="5" borderId="3" xfId="0" applyFont="1" applyFill="1" applyBorder="1" applyAlignment="1">
      <alignment horizontal="right"/>
    </xf>
    <xf numFmtId="0" fontId="6" fillId="5" borderId="3" xfId="0" applyFont="1" applyFill="1" applyBorder="1"/>
    <xf numFmtId="0" fontId="6" fillId="5" borderId="5" xfId="0" applyFont="1" applyFill="1" applyBorder="1"/>
    <xf numFmtId="164" fontId="6" fillId="5" borderId="5" xfId="0" applyNumberFormat="1" applyFont="1" applyFill="1" applyBorder="1"/>
    <xf numFmtId="165" fontId="6" fillId="5" borderId="5" xfId="0" applyNumberFormat="1" applyFont="1" applyFill="1" applyBorder="1"/>
    <xf numFmtId="0" fontId="6" fillId="5" borderId="6" xfId="0" applyFont="1" applyFill="1" applyBorder="1" applyAlignment="1">
      <alignment horizontal="right"/>
    </xf>
    <xf numFmtId="0" fontId="6" fillId="5" borderId="6" xfId="0" applyFont="1" applyFill="1" applyBorder="1"/>
    <xf numFmtId="0" fontId="0" fillId="5" borderId="1" xfId="0" applyFill="1" applyBorder="1"/>
    <xf numFmtId="164" fontId="6" fillId="5" borderId="1" xfId="0" applyNumberFormat="1" applyFont="1" applyFill="1" applyBorder="1"/>
    <xf numFmtId="165" fontId="6" fillId="5" borderId="1" xfId="0" applyNumberFormat="1" applyFont="1" applyFill="1" applyBorder="1"/>
    <xf numFmtId="0" fontId="3" fillId="5" borderId="0" xfId="3" applyFill="1"/>
    <xf numFmtId="0" fontId="0" fillId="5" borderId="8" xfId="0" applyFill="1" applyBorder="1"/>
    <xf numFmtId="0" fontId="0" fillId="0" borderId="4" xfId="0" applyBorder="1"/>
    <xf numFmtId="164" fontId="0" fillId="0" borderId="4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4" xfId="0" applyNumberFormat="1" applyBorder="1"/>
    <xf numFmtId="0" fontId="0" fillId="0" borderId="3" xfId="0" quotePrefix="1" applyBorder="1"/>
    <xf numFmtId="0" fontId="0" fillId="6" borderId="3" xfId="0" quotePrefix="1" applyFill="1" applyBorder="1"/>
    <xf numFmtId="0" fontId="6" fillId="6" borderId="3" xfId="0" quotePrefix="1" applyFont="1" applyFill="1" applyBorder="1"/>
    <xf numFmtId="0" fontId="0" fillId="7" borderId="2" xfId="0" applyFill="1" applyBorder="1"/>
    <xf numFmtId="0" fontId="3" fillId="5" borderId="5" xfId="3" applyFill="1" applyBorder="1"/>
    <xf numFmtId="0" fontId="2" fillId="8" borderId="2" xfId="0" applyFont="1" applyFill="1" applyBorder="1"/>
  </cellXfs>
  <cellStyles count="4">
    <cellStyle name="20% - Accent5" xfId="2" builtinId="46"/>
    <cellStyle name="40% - Accent1" xfId="1" builtinId="31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rc0603fr-07510rl/727285" TargetMode="External"/><Relationship Id="rId18" Type="http://schemas.openxmlformats.org/officeDocument/2006/relationships/hyperlink" Target="https://www.digikey.com/en/products/detail/murata-electronics/GRM1885C1H200JA01D/586920" TargetMode="External"/><Relationship Id="rId26" Type="http://schemas.openxmlformats.org/officeDocument/2006/relationships/hyperlink" Target="https://www.digikey.com/en/products/detail/murata-electronics/grm1885c1h271ja01j/2611130" TargetMode="External"/><Relationship Id="rId39" Type="http://schemas.openxmlformats.org/officeDocument/2006/relationships/hyperlink" Target="https://www.digikey.com/en/products/detail/texas-instruments/TPD2E2U06QDBZRQ1/5056067" TargetMode="External"/><Relationship Id="rId21" Type="http://schemas.openxmlformats.org/officeDocument/2006/relationships/hyperlink" Target="https://www.digikey.com/en/products/detail/murata-electronics/grm1555c1h1r0wa01j/4904825" TargetMode="External"/><Relationship Id="rId34" Type="http://schemas.openxmlformats.org/officeDocument/2006/relationships/hyperlink" Target="https://www.digikey.com/en/products/detail/murata-electronics/LQW18ANR47J00D/584392" TargetMode="External"/><Relationship Id="rId42" Type="http://schemas.openxmlformats.org/officeDocument/2006/relationships/hyperlink" Target="https://www.digikey.sg/en/products/detail/murata-electronics/grm155r71h104ke14d/4906220" TargetMode="External"/><Relationship Id="rId47" Type="http://schemas.openxmlformats.org/officeDocument/2006/relationships/hyperlink" Target="https://www.digikey.sg/en/products/detail/yageo/rc0603fr-07649kl/727346" TargetMode="External"/><Relationship Id="rId50" Type="http://schemas.openxmlformats.org/officeDocument/2006/relationships/hyperlink" Target="https://www.digikey.sg/en/products/detail/murata-electronics/GCJ188R71H473KA12D/2785873?s=N4IgTCBcDaICwE4AMBaArADjXFYUDkAREAXQF8g" TargetMode="External"/><Relationship Id="rId55" Type="http://schemas.openxmlformats.org/officeDocument/2006/relationships/hyperlink" Target="https://www.digikey.sg/en/products/detail/analog-devices-inc/adp7182aujz-5-0-r7/4901224" TargetMode="External"/><Relationship Id="rId63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vishay-dale/tnpw0603280rbeea/1606702" TargetMode="External"/><Relationship Id="rId2" Type="http://schemas.openxmlformats.org/officeDocument/2006/relationships/hyperlink" Target="https://www.digikey.com/en/products/detail/analog-devices-inc/AD9834BRUZ-REEL7/994992" TargetMode="External"/><Relationship Id="rId16" Type="http://schemas.openxmlformats.org/officeDocument/2006/relationships/hyperlink" Target="https://www.digikey.com/en/products/detail/yageo/rc0603fr-0710kl/726880" TargetMode="External"/><Relationship Id="rId29" Type="http://schemas.openxmlformats.org/officeDocument/2006/relationships/hyperlink" Target="https://www.digikey.com/en/products/detail/murata-electronics/GRM188R72A103KA01D/3845635" TargetMode="External"/><Relationship Id="rId11" Type="http://schemas.openxmlformats.org/officeDocument/2006/relationships/hyperlink" Target="https://www.digikey.com/en/products/detail/vishay-dale/tnpw0603499rbeea/1606732" TargetMode="External"/><Relationship Id="rId24" Type="http://schemas.openxmlformats.org/officeDocument/2006/relationships/hyperlink" Target="https://www.digikey.com/en/products/detail/murata-electronics/grm1885c1h301ja01d/586964" TargetMode="External"/><Relationship Id="rId32" Type="http://schemas.openxmlformats.org/officeDocument/2006/relationships/hyperlink" Target="https://www.digikey.com/en/products/detail/murata-electronics/LQW18ANR27J00D/584389" TargetMode="External"/><Relationship Id="rId37" Type="http://schemas.openxmlformats.org/officeDocument/2006/relationships/hyperlink" Target="https://www.digikey.com/en/products/detail/littelfuse-inc/1206L050-15YR/1211396" TargetMode="External"/><Relationship Id="rId40" Type="http://schemas.openxmlformats.org/officeDocument/2006/relationships/hyperlink" Target="https://www.digikey.sg/en/products/detail/taiwan-semiconductor-corporation/SS24/7369395?s=N4IgTCBcDaIIwA4AMcC0BldYAsAVASqgHIAiIAugL5A" TargetMode="External"/><Relationship Id="rId45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3" Type="http://schemas.openxmlformats.org/officeDocument/2006/relationships/hyperlink" Target="https://www.digikey.sg/en/products/detail/analog-devices-inc/adp7142aujz-5-0-r7/5056896" TargetMode="External"/><Relationship Id="rId58" Type="http://schemas.openxmlformats.org/officeDocument/2006/relationships/hyperlink" Target="https://www.digikey.sg/en/products/detail/murata-electronics/blm18kg601sn1d/1982766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61" Type="http://schemas.openxmlformats.org/officeDocument/2006/relationships/hyperlink" Target="https://www.digikey.com/en/products/detail/kemet/C0402C151K5RACTU/1933627" TargetMode="External"/><Relationship Id="rId19" Type="http://schemas.openxmlformats.org/officeDocument/2006/relationships/hyperlink" Target="https://www.digikey.com/en/products/detail/kemet/C0603C104K5RACTU/1465594" TargetMode="External"/><Relationship Id="rId14" Type="http://schemas.openxmlformats.org/officeDocument/2006/relationships/hyperlink" Target="https://www.digikey.com/en/products/detail/yageo-america/rc0603fr-072k67l/22283163" TargetMode="External"/><Relationship Id="rId22" Type="http://schemas.openxmlformats.org/officeDocument/2006/relationships/hyperlink" Target="https://www.digikey.com/en/products/detail/yageo/CC0805KKX5R9BB225/5195775" TargetMode="External"/><Relationship Id="rId27" Type="http://schemas.openxmlformats.org/officeDocument/2006/relationships/hyperlink" Target="https://www.digikey.com/en/products/detail/murata-electronics/GRM1885C1H470JA01D/586904" TargetMode="External"/><Relationship Id="rId30" Type="http://schemas.openxmlformats.org/officeDocument/2006/relationships/hyperlink" Target="https://www.digikey.com/en/products/detail/panasonic-electronic-components/ERJ-3EKF49R9V/196378" TargetMode="External"/><Relationship Id="rId35" Type="http://schemas.openxmlformats.org/officeDocument/2006/relationships/hyperlink" Target="https://www.digikey.com/en/products/detail/abracon-llc/ASDMB-75-000MHZ-LY-T/2624314" TargetMode="External"/><Relationship Id="rId43" Type="http://schemas.openxmlformats.org/officeDocument/2006/relationships/hyperlink" Target="https://www.digikey.sg/en/products/detail/analog-devices-inc/ADP5070AREZ/5408965?s=N4IgTCBcDaIKwAY4FoCCARACog7A1ASgKIBayAcuiALoC%2BQA" TargetMode="External"/><Relationship Id="rId48" Type="http://schemas.openxmlformats.org/officeDocument/2006/relationships/hyperlink" Target="https://www.digikey.sg/en/products/detail/murata-electronics/GRM21BR61C106KE15L/965900" TargetMode="External"/><Relationship Id="rId56" Type="http://schemas.openxmlformats.org/officeDocument/2006/relationships/hyperlink" Target="https://www.digikey.sg/en/products/detail/texas-instruments/tps7a2033pdbvr/13566866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yageo/RC0603FR-0715KL/726953?s=N4IgTCBcDaIMwEYEFoEFYB0AGA0gCQCUAVA5AOQBEQBdAXyA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vishay-dale/tnpw06031k78beea/1606793" TargetMode="External"/><Relationship Id="rId17" Type="http://schemas.openxmlformats.org/officeDocument/2006/relationships/hyperlink" Target="https://www.digikey.com/en/products/detail/vishay-dale/tnpw060310r0beea/1606539" TargetMode="External"/><Relationship Id="rId25" Type="http://schemas.openxmlformats.org/officeDocument/2006/relationships/hyperlink" Target="https://www.digikey.com/en/products/detail/murata-electronics/grm1885c1h331ja01j/2611160" TargetMode="External"/><Relationship Id="rId33" Type="http://schemas.openxmlformats.org/officeDocument/2006/relationships/hyperlink" Target="https://www.digikey.com/en/products/detail/murata-electronics/LQW18ANR39J00D/584391" TargetMode="External"/><Relationship Id="rId38" Type="http://schemas.openxmlformats.org/officeDocument/2006/relationships/hyperlink" Target="https://www.digikey.com/en/products/detail/diotec-semiconductor/SMF5-0A/13163545" TargetMode="External"/><Relationship Id="rId46" Type="http://schemas.openxmlformats.org/officeDocument/2006/relationships/hyperlink" Target="https://www.digikey.sg/en/products/detail/vishay-dale/TNPW0603100KBEEN/1610202?s=N4IgTCBcDaIKwBYCMBaAzHAbAThWFAcgCIgC6AvkA" TargetMode="External"/><Relationship Id="rId59" Type="http://schemas.openxmlformats.org/officeDocument/2006/relationships/hyperlink" Target="https://www.digikey.sg/en/products/detail/murata-electronics/GRM188R61A105KA61D/587071?s=N4IgTCBcDaICwE4AMBaAjAVjgZhWFAcgCIgC6AvkA" TargetMode="External"/><Relationship Id="rId20" Type="http://schemas.openxmlformats.org/officeDocument/2006/relationships/hyperlink" Target="https://www.digikey.com/en/products/detail/kemet/C0603C105K3RACTU/3317410" TargetMode="External"/><Relationship Id="rId41" Type="http://schemas.openxmlformats.org/officeDocument/2006/relationships/hyperlink" Target="https://www.digikey.sg/en/products/detail/murata-electronics/grm32er71e226ke15l/2039040" TargetMode="External"/><Relationship Id="rId54" Type="http://schemas.openxmlformats.org/officeDocument/2006/relationships/hyperlink" Target="https://www.digikey.sg/en/products/detail/murata-electronics/grm1885c1h101ja01d/586921" TargetMode="External"/><Relationship Id="rId62" Type="http://schemas.openxmlformats.org/officeDocument/2006/relationships/hyperlink" Target="https://www.digikey.com/en/products/detail/samsung-electro-mechanics/CL10C330JB8NNNC/3886728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51rl/727281" TargetMode="External"/><Relationship Id="rId23" Type="http://schemas.openxmlformats.org/officeDocument/2006/relationships/hyperlink" Target="https://www.digikey.com/en/products/detail/murata-electronics/grm1885c1h181ja01j/2611094" TargetMode="External"/><Relationship Id="rId28" Type="http://schemas.openxmlformats.org/officeDocument/2006/relationships/hyperlink" Target="https://www.digikey.com/en/products/detail/murata-electronics/GRM188R72A104KA35D/702826" TargetMode="External"/><Relationship Id="rId36" Type="http://schemas.openxmlformats.org/officeDocument/2006/relationships/hyperlink" Target="https://www.digikey.com/en/products/detail/texas-instruments/TLV75533PDBVR/9356541" TargetMode="External"/><Relationship Id="rId49" Type="http://schemas.openxmlformats.org/officeDocument/2006/relationships/hyperlink" Target="https://www.digikey.sg/en/products/detail/yageo/rc0603fr-0712kl/726913" TargetMode="External"/><Relationship Id="rId57" Type="http://schemas.openxmlformats.org/officeDocument/2006/relationships/hyperlink" Target="https://www.digikey.sg/en/products/detail/texas-instruments/tlv75533pdbvr/9356541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analog-devices-inc/ad8014arz/620459" TargetMode="External"/><Relationship Id="rId44" Type="http://schemas.openxmlformats.org/officeDocument/2006/relationships/hyperlink" Target="https://www.digikey.sg/en/products/detail/diodes-incorporated/DFLS240-7/1934953" TargetMode="External"/><Relationship Id="rId52" Type="http://schemas.openxmlformats.org/officeDocument/2006/relationships/hyperlink" Target="https://www.digikey.sg/en/products/detail/murata-electronics/gcj188r71h683ka12d/2783812" TargetMode="External"/><Relationship Id="rId60" Type="http://schemas.openxmlformats.org/officeDocument/2006/relationships/hyperlink" Target="https://www.digikey.com/en/products/detail/vishay-dale/CRCW06032K61FKEA/1174713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dimension ref="A1:S67"/>
  <sheetViews>
    <sheetView tabSelected="1" topLeftCell="B1" zoomScale="115" zoomScaleNormal="115" workbookViewId="0">
      <pane ySplit="1" topLeftCell="A2" activePane="bottomLeft" state="frozen"/>
      <selection pane="bottomLeft" activeCell="J31" sqref="J31"/>
    </sheetView>
  </sheetViews>
  <sheetFormatPr defaultRowHeight="15" x14ac:dyDescent="0.25"/>
  <cols>
    <col min="1" max="1" width="8.28515625" customWidth="1"/>
    <col min="2" max="2" width="30.7109375" customWidth="1"/>
    <col min="3" max="3" width="27.28515625" customWidth="1"/>
    <col min="4" max="4" width="11.5703125" bestFit="1" customWidth="1"/>
    <col min="5" max="5" width="42.28515625" customWidth="1"/>
    <col min="6" max="6" width="18" customWidth="1"/>
    <col min="7" max="7" width="17.5703125" customWidth="1"/>
    <col min="8" max="8" width="18.140625" customWidth="1"/>
    <col min="9" max="9" width="16.140625" customWidth="1"/>
    <col min="10" max="10" width="16.140625" bestFit="1" customWidth="1"/>
    <col min="11" max="11" width="14.85546875" customWidth="1"/>
    <col min="13" max="13" width="11.5703125" customWidth="1"/>
    <col min="14" max="14" width="15" customWidth="1"/>
    <col min="15" max="15" width="12.5703125" customWidth="1"/>
    <col min="17" max="17" width="5.140625" customWidth="1"/>
    <col min="18" max="18" width="15.42578125" bestFit="1" customWidth="1"/>
    <col min="19" max="19" width="16" bestFit="1" customWidth="1"/>
  </cols>
  <sheetData>
    <row r="1" spans="1:19" ht="41.25" customHeight="1" x14ac:dyDescent="0.25">
      <c r="A1" s="1" t="s">
        <v>0</v>
      </c>
      <c r="B1" s="2" t="s">
        <v>1</v>
      </c>
      <c r="C1" s="2" t="s">
        <v>2</v>
      </c>
      <c r="D1" s="2" t="s">
        <v>7</v>
      </c>
      <c r="E1" s="3" t="s">
        <v>3</v>
      </c>
      <c r="F1" s="3" t="s">
        <v>8</v>
      </c>
      <c r="G1" s="3" t="s">
        <v>9</v>
      </c>
      <c r="H1" s="3" t="s">
        <v>4</v>
      </c>
      <c r="I1" s="2" t="s">
        <v>5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9" x14ac:dyDescent="0.25">
      <c r="A2" s="4">
        <v>1</v>
      </c>
      <c r="B2" s="4" t="s">
        <v>17</v>
      </c>
      <c r="C2" s="4" t="s">
        <v>18</v>
      </c>
      <c r="D2" s="4">
        <v>4</v>
      </c>
      <c r="E2" s="4" t="s">
        <v>19</v>
      </c>
      <c r="F2" s="5">
        <v>17.920000000000002</v>
      </c>
      <c r="G2" s="5">
        <f>F2*D2</f>
        <v>71.680000000000007</v>
      </c>
      <c r="H2" s="6">
        <f>G2*26190</f>
        <v>1877299.2000000002</v>
      </c>
      <c r="I2" s="7" t="s">
        <v>20</v>
      </c>
      <c r="J2" s="4" t="s">
        <v>21</v>
      </c>
      <c r="K2" s="4" t="s">
        <v>22</v>
      </c>
      <c r="L2" s="8" t="s">
        <v>23</v>
      </c>
      <c r="M2" s="8" t="s">
        <v>24</v>
      </c>
      <c r="N2" s="9" t="s">
        <v>25</v>
      </c>
      <c r="O2" s="9" t="s">
        <v>26</v>
      </c>
      <c r="P2" s="10" t="s">
        <v>27</v>
      </c>
      <c r="R2" s="41" t="s">
        <v>28</v>
      </c>
      <c r="S2" s="42">
        <f>SUM($G:$G)</f>
        <v>573.87575000000004</v>
      </c>
    </row>
    <row r="3" spans="1:19" x14ac:dyDescent="0.25">
      <c r="A3" s="4">
        <v>2</v>
      </c>
      <c r="B3" s="4" t="s">
        <v>29</v>
      </c>
      <c r="C3" s="4" t="s">
        <v>30</v>
      </c>
      <c r="D3" s="4">
        <v>4</v>
      </c>
      <c r="E3" s="4" t="s">
        <v>31</v>
      </c>
      <c r="F3" s="5">
        <v>34.64</v>
      </c>
      <c r="G3" s="5">
        <f t="shared" ref="G3:G5" si="0">F3*D3</f>
        <v>138.56</v>
      </c>
      <c r="H3" s="6">
        <f t="shared" ref="H3:H5" si="1">G3*26190</f>
        <v>3628886.4</v>
      </c>
      <c r="I3" s="7" t="s">
        <v>325</v>
      </c>
      <c r="J3" s="4" t="s">
        <v>21</v>
      </c>
      <c r="K3" s="4" t="s">
        <v>22</v>
      </c>
      <c r="L3" s="8" t="s">
        <v>23</v>
      </c>
      <c r="M3" s="8" t="s">
        <v>24</v>
      </c>
      <c r="N3" s="9" t="s">
        <v>32</v>
      </c>
      <c r="O3" s="9" t="s">
        <v>33</v>
      </c>
      <c r="P3" s="10" t="s">
        <v>27</v>
      </c>
      <c r="R3" s="43" t="s">
        <v>34</v>
      </c>
      <c r="S3" s="44">
        <f>SUM($H:$H)</f>
        <v>15029805.892500002</v>
      </c>
    </row>
    <row r="4" spans="1:19" x14ac:dyDescent="0.25">
      <c r="A4" s="4">
        <v>3</v>
      </c>
      <c r="B4" s="4" t="s">
        <v>35</v>
      </c>
      <c r="C4" s="4" t="s">
        <v>36</v>
      </c>
      <c r="D4" s="4">
        <v>4</v>
      </c>
      <c r="E4" s="4" t="s">
        <v>37</v>
      </c>
      <c r="F4" s="5">
        <v>6.69</v>
      </c>
      <c r="G4" s="5">
        <f t="shared" si="0"/>
        <v>26.76</v>
      </c>
      <c r="H4" s="6">
        <f t="shared" si="1"/>
        <v>700844.4</v>
      </c>
      <c r="I4" s="7" t="s">
        <v>38</v>
      </c>
      <c r="J4" s="49" t="s">
        <v>326</v>
      </c>
      <c r="K4" s="4" t="s">
        <v>39</v>
      </c>
      <c r="L4" s="8" t="s">
        <v>23</v>
      </c>
      <c r="M4" s="8" t="s">
        <v>24</v>
      </c>
      <c r="N4" s="9" t="s">
        <v>40</v>
      </c>
      <c r="O4" s="9" t="s">
        <v>41</v>
      </c>
      <c r="P4" s="10" t="s">
        <v>27</v>
      </c>
      <c r="R4" s="41" t="s">
        <v>42</v>
      </c>
      <c r="S4" s="45">
        <f>$S$2*31.63</f>
        <v>18151.6899725</v>
      </c>
    </row>
    <row r="5" spans="1:19" x14ac:dyDescent="0.25">
      <c r="A5" s="4">
        <v>4</v>
      </c>
      <c r="B5" s="4" t="s">
        <v>43</v>
      </c>
      <c r="C5" s="4" t="s">
        <v>44</v>
      </c>
      <c r="D5" s="4">
        <v>4</v>
      </c>
      <c r="E5" s="4" t="s">
        <v>45</v>
      </c>
      <c r="F5" s="5">
        <v>5.18</v>
      </c>
      <c r="G5" s="5">
        <f t="shared" si="0"/>
        <v>20.72</v>
      </c>
      <c r="H5" s="6">
        <f t="shared" si="1"/>
        <v>542656.79999999993</v>
      </c>
      <c r="I5" s="7" t="s">
        <v>46</v>
      </c>
      <c r="J5" s="4" t="s">
        <v>21</v>
      </c>
      <c r="K5" s="4" t="s">
        <v>22</v>
      </c>
      <c r="L5" s="8" t="s">
        <v>23</v>
      </c>
      <c r="M5" s="8" t="s">
        <v>24</v>
      </c>
      <c r="N5" s="9" t="s">
        <v>47</v>
      </c>
      <c r="O5" s="9" t="s">
        <v>48</v>
      </c>
      <c r="P5" s="10" t="s">
        <v>27</v>
      </c>
    </row>
    <row r="6" spans="1:19" x14ac:dyDescent="0.25">
      <c r="A6" s="4">
        <v>5</v>
      </c>
      <c r="B6" s="4" t="s">
        <v>49</v>
      </c>
      <c r="C6" s="4" t="s">
        <v>50</v>
      </c>
      <c r="D6" s="4">
        <v>25</v>
      </c>
      <c r="E6" s="4" t="s">
        <v>51</v>
      </c>
      <c r="F6" s="5">
        <v>0.23</v>
      </c>
      <c r="G6" s="5">
        <f>F6*D6</f>
        <v>5.75</v>
      </c>
      <c r="H6" s="6">
        <f>G6*26190</f>
        <v>150592.5</v>
      </c>
      <c r="I6" s="7" t="s">
        <v>52</v>
      </c>
      <c r="J6" s="4" t="s">
        <v>21</v>
      </c>
      <c r="K6" s="4" t="s">
        <v>53</v>
      </c>
      <c r="L6" s="8" t="s">
        <v>54</v>
      </c>
      <c r="M6" s="9" t="s">
        <v>55</v>
      </c>
      <c r="N6" s="46" t="s">
        <v>56</v>
      </c>
      <c r="O6" s="9"/>
      <c r="P6" s="10" t="s">
        <v>27</v>
      </c>
    </row>
    <row r="7" spans="1:19" x14ac:dyDescent="0.25">
      <c r="A7" s="4">
        <v>6</v>
      </c>
      <c r="B7" s="4" t="s">
        <v>57</v>
      </c>
      <c r="C7" s="4" t="s">
        <v>58</v>
      </c>
      <c r="D7" s="4">
        <v>25</v>
      </c>
      <c r="E7" s="4" t="s">
        <v>59</v>
      </c>
      <c r="F7" s="5">
        <v>0.23</v>
      </c>
      <c r="G7" s="5">
        <f t="shared" ref="G7:G40" si="2">F7*D7</f>
        <v>5.75</v>
      </c>
      <c r="H7" s="6">
        <f t="shared" ref="H7:H40" si="3">G7*26190</f>
        <v>150592.5</v>
      </c>
      <c r="I7" s="7" t="s">
        <v>60</v>
      </c>
      <c r="J7" s="4" t="s">
        <v>21</v>
      </c>
      <c r="K7" s="4" t="s">
        <v>53</v>
      </c>
      <c r="L7" s="8">
        <v>200</v>
      </c>
      <c r="M7" s="9" t="s">
        <v>55</v>
      </c>
      <c r="N7" s="46" t="s">
        <v>56</v>
      </c>
      <c r="O7" s="9"/>
      <c r="P7" s="10" t="s">
        <v>27</v>
      </c>
    </row>
    <row r="8" spans="1:19" x14ac:dyDescent="0.25">
      <c r="A8" s="4">
        <v>7</v>
      </c>
      <c r="B8" s="4" t="s">
        <v>61</v>
      </c>
      <c r="C8" s="4" t="s">
        <v>62</v>
      </c>
      <c r="D8" s="4">
        <v>25</v>
      </c>
      <c r="E8" s="4" t="s">
        <v>63</v>
      </c>
      <c r="F8" s="5">
        <v>0.23</v>
      </c>
      <c r="G8" s="5">
        <f t="shared" si="2"/>
        <v>5.75</v>
      </c>
      <c r="H8" s="6">
        <f t="shared" si="3"/>
        <v>150592.5</v>
      </c>
      <c r="I8" s="7" t="s">
        <v>64</v>
      </c>
      <c r="J8" s="4" t="s">
        <v>21</v>
      </c>
      <c r="K8" s="4" t="s">
        <v>53</v>
      </c>
      <c r="L8" s="8">
        <v>280</v>
      </c>
      <c r="M8" s="9" t="s">
        <v>55</v>
      </c>
      <c r="N8" s="46" t="s">
        <v>56</v>
      </c>
      <c r="O8" s="9"/>
      <c r="P8" s="10" t="s">
        <v>27</v>
      </c>
    </row>
    <row r="9" spans="1:19" x14ac:dyDescent="0.25">
      <c r="A9" s="4">
        <v>8</v>
      </c>
      <c r="B9" s="4" t="s">
        <v>65</v>
      </c>
      <c r="C9" s="4" t="s">
        <v>66</v>
      </c>
      <c r="D9" s="4">
        <v>25</v>
      </c>
      <c r="E9" s="4" t="s">
        <v>67</v>
      </c>
      <c r="F9" s="5">
        <v>0.23</v>
      </c>
      <c r="G9" s="5">
        <f t="shared" si="2"/>
        <v>5.75</v>
      </c>
      <c r="H9" s="6">
        <f t="shared" si="3"/>
        <v>150592.5</v>
      </c>
      <c r="I9" s="7" t="s">
        <v>68</v>
      </c>
      <c r="J9" s="4" t="s">
        <v>21</v>
      </c>
      <c r="K9" s="4" t="s">
        <v>53</v>
      </c>
      <c r="L9" s="8" t="s">
        <v>69</v>
      </c>
      <c r="M9" s="9" t="s">
        <v>55</v>
      </c>
      <c r="N9" s="46" t="s">
        <v>56</v>
      </c>
      <c r="O9" s="9"/>
      <c r="P9" s="10" t="s">
        <v>27</v>
      </c>
    </row>
    <row r="10" spans="1:19" x14ac:dyDescent="0.25">
      <c r="A10" s="4">
        <v>9</v>
      </c>
      <c r="B10" s="4" t="s">
        <v>70</v>
      </c>
      <c r="C10" s="4" t="s">
        <v>71</v>
      </c>
      <c r="D10" s="4">
        <v>25</v>
      </c>
      <c r="E10" s="4" t="s">
        <v>72</v>
      </c>
      <c r="F10" s="5">
        <v>0.1</v>
      </c>
      <c r="G10" s="5">
        <f t="shared" si="2"/>
        <v>2.5</v>
      </c>
      <c r="H10" s="6">
        <f t="shared" si="3"/>
        <v>65475</v>
      </c>
      <c r="I10" s="7" t="s">
        <v>73</v>
      </c>
      <c r="J10" s="4" t="s">
        <v>21</v>
      </c>
      <c r="K10" s="4" t="s">
        <v>53</v>
      </c>
      <c r="L10" s="8">
        <v>22</v>
      </c>
      <c r="M10" s="9" t="s">
        <v>55</v>
      </c>
      <c r="N10" s="46" t="s">
        <v>56</v>
      </c>
      <c r="O10" s="9"/>
      <c r="P10" s="10" t="s">
        <v>27</v>
      </c>
    </row>
    <row r="11" spans="1:19" x14ac:dyDescent="0.25">
      <c r="A11" s="4">
        <v>10</v>
      </c>
      <c r="B11" s="4" t="s">
        <v>74</v>
      </c>
      <c r="C11" s="4" t="s">
        <v>74</v>
      </c>
      <c r="D11" s="4">
        <v>25</v>
      </c>
      <c r="E11" s="4" t="s">
        <v>75</v>
      </c>
      <c r="F11" s="5">
        <v>0.1</v>
      </c>
      <c r="G11" s="5">
        <f t="shared" si="2"/>
        <v>2.5</v>
      </c>
      <c r="H11" s="6">
        <f t="shared" si="3"/>
        <v>65475</v>
      </c>
      <c r="I11" s="7" t="s">
        <v>76</v>
      </c>
      <c r="J11" s="4" t="s">
        <v>21</v>
      </c>
      <c r="K11" s="4" t="s">
        <v>53</v>
      </c>
      <c r="L11" s="8">
        <v>0</v>
      </c>
      <c r="M11" s="9" t="s">
        <v>55</v>
      </c>
      <c r="N11" s="46" t="s">
        <v>56</v>
      </c>
      <c r="O11" s="9"/>
      <c r="P11" s="10" t="s">
        <v>27</v>
      </c>
    </row>
    <row r="12" spans="1:19" x14ac:dyDescent="0.25">
      <c r="A12" s="4">
        <v>11</v>
      </c>
      <c r="B12" s="4" t="s">
        <v>77</v>
      </c>
      <c r="C12" s="4" t="s">
        <v>78</v>
      </c>
      <c r="D12" s="4">
        <v>25</v>
      </c>
      <c r="E12" s="4" t="s">
        <v>79</v>
      </c>
      <c r="F12" s="5">
        <v>0.23</v>
      </c>
      <c r="G12" s="5">
        <f t="shared" si="2"/>
        <v>5.75</v>
      </c>
      <c r="H12" s="6">
        <f t="shared" si="3"/>
        <v>150592.5</v>
      </c>
      <c r="I12" s="7" t="s">
        <v>80</v>
      </c>
      <c r="J12" s="4" t="s">
        <v>21</v>
      </c>
      <c r="K12" s="4" t="s">
        <v>53</v>
      </c>
      <c r="L12" s="8">
        <v>499</v>
      </c>
      <c r="M12" s="9" t="s">
        <v>55</v>
      </c>
      <c r="N12" s="46" t="s">
        <v>56</v>
      </c>
      <c r="O12" s="9"/>
      <c r="P12" s="10" t="s">
        <v>27</v>
      </c>
    </row>
    <row r="13" spans="1:19" x14ac:dyDescent="0.25">
      <c r="A13" s="4">
        <v>12</v>
      </c>
      <c r="B13" s="4" t="s">
        <v>81</v>
      </c>
      <c r="C13" s="4" t="s">
        <v>82</v>
      </c>
      <c r="D13" s="4">
        <v>25</v>
      </c>
      <c r="E13" s="4" t="s">
        <v>83</v>
      </c>
      <c r="F13" s="5">
        <v>0.23</v>
      </c>
      <c r="G13" s="5">
        <f t="shared" si="2"/>
        <v>5.75</v>
      </c>
      <c r="H13" s="6">
        <f t="shared" si="3"/>
        <v>150592.5</v>
      </c>
      <c r="I13" s="7" t="s">
        <v>84</v>
      </c>
      <c r="J13" s="4" t="s">
        <v>21</v>
      </c>
      <c r="K13" s="4" t="s">
        <v>53</v>
      </c>
      <c r="L13" s="8" t="s">
        <v>69</v>
      </c>
      <c r="M13" s="9" t="s">
        <v>55</v>
      </c>
      <c r="N13" s="46" t="s">
        <v>56</v>
      </c>
      <c r="O13" s="9"/>
      <c r="P13" s="10" t="s">
        <v>27</v>
      </c>
    </row>
    <row r="14" spans="1:19" x14ac:dyDescent="0.25">
      <c r="A14" s="4">
        <v>13</v>
      </c>
      <c r="B14" s="4" t="s">
        <v>85</v>
      </c>
      <c r="C14" s="4" t="s">
        <v>86</v>
      </c>
      <c r="D14" s="4">
        <v>25</v>
      </c>
      <c r="E14" s="4" t="s">
        <v>87</v>
      </c>
      <c r="F14" s="11">
        <v>0.1</v>
      </c>
      <c r="G14" s="5">
        <f t="shared" si="2"/>
        <v>2.5</v>
      </c>
      <c r="H14" s="12">
        <f t="shared" si="3"/>
        <v>65475</v>
      </c>
      <c r="I14" s="13" t="s">
        <v>88</v>
      </c>
      <c r="J14" s="14" t="s">
        <v>21</v>
      </c>
      <c r="K14" s="4" t="s">
        <v>53</v>
      </c>
      <c r="L14" s="8">
        <v>510</v>
      </c>
      <c r="M14" s="9" t="s">
        <v>55</v>
      </c>
      <c r="N14" s="46" t="s">
        <v>56</v>
      </c>
      <c r="O14" s="9"/>
      <c r="P14" s="10" t="s">
        <v>27</v>
      </c>
    </row>
    <row r="15" spans="1:19" x14ac:dyDescent="0.25">
      <c r="A15" s="4">
        <v>14</v>
      </c>
      <c r="B15" s="4" t="s">
        <v>89</v>
      </c>
      <c r="C15" s="4" t="s">
        <v>90</v>
      </c>
      <c r="D15" s="4">
        <v>25</v>
      </c>
      <c r="E15" s="4" t="s">
        <v>91</v>
      </c>
      <c r="F15" s="11">
        <v>2E-3</v>
      </c>
      <c r="G15" s="5">
        <f t="shared" si="2"/>
        <v>0.05</v>
      </c>
      <c r="H15" s="12">
        <f t="shared" si="3"/>
        <v>1309.5</v>
      </c>
      <c r="I15" s="13" t="s">
        <v>92</v>
      </c>
      <c r="J15" s="14" t="s">
        <v>21</v>
      </c>
      <c r="K15" s="4" t="s">
        <v>53</v>
      </c>
      <c r="L15" s="8" t="s">
        <v>93</v>
      </c>
      <c r="M15" s="9" t="s">
        <v>55</v>
      </c>
      <c r="N15" s="46" t="s">
        <v>56</v>
      </c>
      <c r="O15" s="9"/>
      <c r="P15" s="10" t="s">
        <v>27</v>
      </c>
    </row>
    <row r="16" spans="1:19" x14ac:dyDescent="0.25">
      <c r="A16" s="4">
        <v>15</v>
      </c>
      <c r="B16" s="4" t="s">
        <v>94</v>
      </c>
      <c r="C16" s="4" t="s">
        <v>95</v>
      </c>
      <c r="D16" s="4">
        <v>25</v>
      </c>
      <c r="E16" s="4" t="s">
        <v>96</v>
      </c>
      <c r="F16" s="11">
        <v>0.1</v>
      </c>
      <c r="G16" s="5">
        <f t="shared" si="2"/>
        <v>2.5</v>
      </c>
      <c r="H16" s="12">
        <f t="shared" si="3"/>
        <v>65475</v>
      </c>
      <c r="I16" s="13" t="s">
        <v>97</v>
      </c>
      <c r="J16" s="14" t="s">
        <v>21</v>
      </c>
      <c r="K16" s="4" t="s">
        <v>53</v>
      </c>
      <c r="L16" s="8">
        <v>51</v>
      </c>
      <c r="M16" s="9" t="s">
        <v>55</v>
      </c>
      <c r="N16" s="46" t="s">
        <v>56</v>
      </c>
      <c r="O16" s="9"/>
      <c r="P16" s="10" t="s">
        <v>27</v>
      </c>
    </row>
    <row r="17" spans="1:16" x14ac:dyDescent="0.25">
      <c r="A17" s="4">
        <v>16</v>
      </c>
      <c r="B17" s="4" t="s">
        <v>98</v>
      </c>
      <c r="C17" s="4" t="s">
        <v>99</v>
      </c>
      <c r="D17" s="4">
        <v>25</v>
      </c>
      <c r="E17" s="14" t="s">
        <v>100</v>
      </c>
      <c r="F17" s="11">
        <v>0.1</v>
      </c>
      <c r="G17" s="5">
        <f t="shared" si="2"/>
        <v>2.5</v>
      </c>
      <c r="H17" s="12">
        <f t="shared" si="3"/>
        <v>65475</v>
      </c>
      <c r="I17" s="13" t="s">
        <v>101</v>
      </c>
      <c r="J17" s="14" t="s">
        <v>21</v>
      </c>
      <c r="K17" s="4" t="s">
        <v>53</v>
      </c>
      <c r="L17" s="8" t="s">
        <v>102</v>
      </c>
      <c r="M17" s="9" t="s">
        <v>55</v>
      </c>
      <c r="N17" s="46" t="s">
        <v>56</v>
      </c>
      <c r="O17" s="9"/>
      <c r="P17" s="10" t="s">
        <v>27</v>
      </c>
    </row>
    <row r="18" spans="1:16" x14ac:dyDescent="0.25">
      <c r="A18" s="4">
        <v>17</v>
      </c>
      <c r="B18" s="4" t="s">
        <v>103</v>
      </c>
      <c r="C18" s="4" t="s">
        <v>104</v>
      </c>
      <c r="D18" s="4">
        <v>25</v>
      </c>
      <c r="E18" s="14" t="s">
        <v>105</v>
      </c>
      <c r="F18" s="11">
        <v>0.31</v>
      </c>
      <c r="G18" s="5">
        <f t="shared" si="2"/>
        <v>7.75</v>
      </c>
      <c r="H18" s="12">
        <f t="shared" si="3"/>
        <v>202972.5</v>
      </c>
      <c r="I18" s="13" t="s">
        <v>106</v>
      </c>
      <c r="J18" s="14" t="s">
        <v>21</v>
      </c>
      <c r="K18" s="4" t="s">
        <v>53</v>
      </c>
      <c r="L18" s="8">
        <v>10</v>
      </c>
      <c r="M18" s="9" t="s">
        <v>55</v>
      </c>
      <c r="N18" s="46" t="s">
        <v>56</v>
      </c>
      <c r="O18" s="9"/>
      <c r="P18" s="10" t="s">
        <v>27</v>
      </c>
    </row>
    <row r="19" spans="1:16" x14ac:dyDescent="0.25">
      <c r="A19" s="4">
        <v>18</v>
      </c>
      <c r="B19" s="4" t="s">
        <v>107</v>
      </c>
      <c r="C19" s="4" t="s">
        <v>108</v>
      </c>
      <c r="D19" s="4">
        <v>25</v>
      </c>
      <c r="E19" s="4" t="s">
        <v>109</v>
      </c>
      <c r="F19" s="11">
        <v>0.12</v>
      </c>
      <c r="G19" s="5">
        <f t="shared" si="2"/>
        <v>3</v>
      </c>
      <c r="H19" s="12">
        <f t="shared" si="3"/>
        <v>78570</v>
      </c>
      <c r="I19" s="13" t="s">
        <v>110</v>
      </c>
      <c r="J19" s="14" t="s">
        <v>21</v>
      </c>
      <c r="K19" s="4" t="s">
        <v>111</v>
      </c>
      <c r="L19" s="8" t="s">
        <v>112</v>
      </c>
      <c r="M19" s="9" t="s">
        <v>113</v>
      </c>
      <c r="N19" s="46" t="s">
        <v>56</v>
      </c>
      <c r="O19" s="9"/>
      <c r="P19" s="10" t="s">
        <v>27</v>
      </c>
    </row>
    <row r="20" spans="1:16" x14ac:dyDescent="0.25">
      <c r="A20" s="4">
        <v>19</v>
      </c>
      <c r="B20" s="4" t="s">
        <v>114</v>
      </c>
      <c r="C20" s="4" t="s">
        <v>115</v>
      </c>
      <c r="D20" s="4">
        <v>25</v>
      </c>
      <c r="E20" s="4" t="s">
        <v>116</v>
      </c>
      <c r="F20" s="11">
        <v>0.08</v>
      </c>
      <c r="G20" s="5">
        <f t="shared" si="2"/>
        <v>2</v>
      </c>
      <c r="H20" s="12">
        <f t="shared" si="3"/>
        <v>52380</v>
      </c>
      <c r="I20" s="13" t="s">
        <v>117</v>
      </c>
      <c r="J20" s="14" t="s">
        <v>21</v>
      </c>
      <c r="K20" s="4" t="s">
        <v>111</v>
      </c>
      <c r="L20" s="8" t="s">
        <v>118</v>
      </c>
      <c r="M20" s="9" t="s">
        <v>113</v>
      </c>
      <c r="N20" s="46" t="s">
        <v>56</v>
      </c>
      <c r="O20" s="9"/>
      <c r="P20" s="10" t="s">
        <v>27</v>
      </c>
    </row>
    <row r="21" spans="1:16" x14ac:dyDescent="0.25">
      <c r="A21" s="4">
        <v>20</v>
      </c>
      <c r="B21" s="4" t="s">
        <v>119</v>
      </c>
      <c r="C21" s="4" t="s">
        <v>120</v>
      </c>
      <c r="D21" s="4">
        <v>25</v>
      </c>
      <c r="E21" s="4" t="s">
        <v>121</v>
      </c>
      <c r="F21" s="11">
        <v>0.41</v>
      </c>
      <c r="G21" s="5">
        <f t="shared" si="2"/>
        <v>10.25</v>
      </c>
      <c r="H21" s="12">
        <f t="shared" si="3"/>
        <v>268447.5</v>
      </c>
      <c r="I21" s="13" t="s">
        <v>122</v>
      </c>
      <c r="J21" s="14" t="s">
        <v>21</v>
      </c>
      <c r="K21" s="4" t="s">
        <v>111</v>
      </c>
      <c r="L21" s="8" t="s">
        <v>123</v>
      </c>
      <c r="M21" s="9" t="s">
        <v>113</v>
      </c>
      <c r="N21" s="46" t="s">
        <v>56</v>
      </c>
      <c r="O21" s="9"/>
      <c r="P21" s="10" t="s">
        <v>27</v>
      </c>
    </row>
    <row r="22" spans="1:16" x14ac:dyDescent="0.25">
      <c r="A22" s="4">
        <v>21</v>
      </c>
      <c r="B22" s="4" t="s">
        <v>124</v>
      </c>
      <c r="C22" s="4" t="s">
        <v>125</v>
      </c>
      <c r="D22" s="4">
        <v>25</v>
      </c>
      <c r="E22" s="4" t="s">
        <v>126</v>
      </c>
      <c r="F22" s="5">
        <v>1.4800000000000001E-2</v>
      </c>
      <c r="G22" s="5">
        <f t="shared" si="2"/>
        <v>0.37</v>
      </c>
      <c r="H22" s="6">
        <f t="shared" si="3"/>
        <v>9690.2999999999993</v>
      </c>
      <c r="I22" s="7" t="s">
        <v>127</v>
      </c>
      <c r="J22" s="4" t="s">
        <v>21</v>
      </c>
      <c r="K22" s="4" t="s">
        <v>111</v>
      </c>
      <c r="L22" s="8" t="s">
        <v>128</v>
      </c>
      <c r="M22" s="9" t="s">
        <v>113</v>
      </c>
      <c r="N22" s="47" t="s">
        <v>129</v>
      </c>
      <c r="O22" s="9"/>
      <c r="P22" s="10" t="s">
        <v>27</v>
      </c>
    </row>
    <row r="23" spans="1:16" x14ac:dyDescent="0.25">
      <c r="A23" s="4">
        <v>22</v>
      </c>
      <c r="B23" s="4" t="s">
        <v>130</v>
      </c>
      <c r="C23" s="4" t="s">
        <v>131</v>
      </c>
      <c r="D23" s="4">
        <v>25</v>
      </c>
      <c r="E23" s="4" t="s">
        <v>132</v>
      </c>
      <c r="F23" s="5">
        <v>2.5000000000000001E-2</v>
      </c>
      <c r="G23" s="5">
        <f t="shared" si="2"/>
        <v>0.625</v>
      </c>
      <c r="H23" s="6">
        <f t="shared" si="3"/>
        <v>16368.75</v>
      </c>
      <c r="I23" s="7" t="s">
        <v>133</v>
      </c>
      <c r="J23" s="4" t="s">
        <v>21</v>
      </c>
      <c r="K23" s="4" t="s">
        <v>111</v>
      </c>
      <c r="L23" s="8" t="s">
        <v>134</v>
      </c>
      <c r="M23" s="9" t="s">
        <v>113</v>
      </c>
      <c r="N23" s="47" t="s">
        <v>135</v>
      </c>
      <c r="O23" s="9"/>
      <c r="P23" s="10" t="s">
        <v>27</v>
      </c>
    </row>
    <row r="24" spans="1:16" x14ac:dyDescent="0.25">
      <c r="A24" s="4">
        <v>23</v>
      </c>
      <c r="B24" s="4" t="s">
        <v>136</v>
      </c>
      <c r="C24" s="4" t="s">
        <v>137</v>
      </c>
      <c r="D24" s="4">
        <v>25</v>
      </c>
      <c r="E24" s="4" t="s">
        <v>138</v>
      </c>
      <c r="F24" s="5">
        <v>1.822E-2</v>
      </c>
      <c r="G24" s="5">
        <f t="shared" si="2"/>
        <v>0.45550000000000002</v>
      </c>
      <c r="H24" s="6">
        <f t="shared" si="3"/>
        <v>11929.545</v>
      </c>
      <c r="I24" s="7" t="s">
        <v>139</v>
      </c>
      <c r="J24" s="4" t="s">
        <v>21</v>
      </c>
      <c r="K24" s="4" t="s">
        <v>111</v>
      </c>
      <c r="L24" s="8" t="s">
        <v>140</v>
      </c>
      <c r="M24" s="9" t="s">
        <v>113</v>
      </c>
      <c r="N24" s="46" t="s">
        <v>56</v>
      </c>
      <c r="O24" s="9"/>
      <c r="P24" s="10" t="s">
        <v>27</v>
      </c>
    </row>
    <row r="25" spans="1:16" x14ac:dyDescent="0.25">
      <c r="A25" s="4">
        <v>24</v>
      </c>
      <c r="B25" s="4" t="s">
        <v>141</v>
      </c>
      <c r="C25" s="4" t="s">
        <v>142</v>
      </c>
      <c r="D25" s="4">
        <v>25</v>
      </c>
      <c r="E25" s="4" t="s">
        <v>143</v>
      </c>
      <c r="F25" s="5">
        <v>0.13</v>
      </c>
      <c r="G25" s="5">
        <f t="shared" si="2"/>
        <v>3.25</v>
      </c>
      <c r="H25" s="6">
        <f t="shared" si="3"/>
        <v>85117.5</v>
      </c>
      <c r="I25" s="7" t="s">
        <v>144</v>
      </c>
      <c r="J25" s="4" t="s">
        <v>21</v>
      </c>
      <c r="K25" s="4" t="s">
        <v>111</v>
      </c>
      <c r="L25" s="8" t="s">
        <v>145</v>
      </c>
      <c r="M25" s="9" t="s">
        <v>113</v>
      </c>
      <c r="N25" s="46" t="s">
        <v>56</v>
      </c>
      <c r="O25" s="9"/>
      <c r="P25" s="10" t="s">
        <v>27</v>
      </c>
    </row>
    <row r="26" spans="1:16" x14ac:dyDescent="0.25">
      <c r="A26" s="4">
        <v>25</v>
      </c>
      <c r="B26" s="4" t="s">
        <v>146</v>
      </c>
      <c r="C26" s="4" t="s">
        <v>147</v>
      </c>
      <c r="D26" s="4">
        <v>25</v>
      </c>
      <c r="E26" s="4" t="s">
        <v>148</v>
      </c>
      <c r="F26" s="5">
        <v>0.11</v>
      </c>
      <c r="G26" s="5">
        <f t="shared" si="2"/>
        <v>2.75</v>
      </c>
      <c r="H26" s="6">
        <f t="shared" si="3"/>
        <v>72022.5</v>
      </c>
      <c r="I26" s="7" t="s">
        <v>149</v>
      </c>
      <c r="J26" s="4" t="s">
        <v>21</v>
      </c>
      <c r="K26" s="4" t="s">
        <v>111</v>
      </c>
      <c r="L26" s="8" t="s">
        <v>150</v>
      </c>
      <c r="M26" s="9" t="s">
        <v>113</v>
      </c>
      <c r="N26" s="46" t="s">
        <v>56</v>
      </c>
      <c r="O26" s="9"/>
      <c r="P26" s="10" t="s">
        <v>27</v>
      </c>
    </row>
    <row r="27" spans="1:16" x14ac:dyDescent="0.25">
      <c r="A27" s="4">
        <v>26</v>
      </c>
      <c r="B27" s="4" t="s">
        <v>151</v>
      </c>
      <c r="C27" s="4" t="s">
        <v>152</v>
      </c>
      <c r="D27" s="4">
        <v>25</v>
      </c>
      <c r="E27" s="4" t="s">
        <v>153</v>
      </c>
      <c r="F27" s="5">
        <v>2.5010000000000001E-2</v>
      </c>
      <c r="G27" s="5">
        <f t="shared" si="2"/>
        <v>0.62524999999999997</v>
      </c>
      <c r="H27" s="6">
        <f t="shared" si="3"/>
        <v>16375.297499999999</v>
      </c>
      <c r="I27" s="7" t="s">
        <v>154</v>
      </c>
      <c r="J27" s="4" t="s">
        <v>21</v>
      </c>
      <c r="K27" s="4" t="s">
        <v>111</v>
      </c>
      <c r="L27" s="8" t="s">
        <v>155</v>
      </c>
      <c r="M27" s="9" t="s">
        <v>113</v>
      </c>
      <c r="N27" s="46" t="s">
        <v>56</v>
      </c>
      <c r="O27" s="9"/>
      <c r="P27" s="10" t="s">
        <v>27</v>
      </c>
    </row>
    <row r="28" spans="1:16" x14ac:dyDescent="0.25">
      <c r="A28" s="4">
        <v>27</v>
      </c>
      <c r="B28" s="4" t="s">
        <v>156</v>
      </c>
      <c r="C28" s="4" t="s">
        <v>157</v>
      </c>
      <c r="D28" s="4">
        <v>25</v>
      </c>
      <c r="E28" s="4" t="s">
        <v>158</v>
      </c>
      <c r="F28" s="5">
        <v>0.12</v>
      </c>
      <c r="G28" s="5">
        <f t="shared" si="2"/>
        <v>3</v>
      </c>
      <c r="H28" s="6">
        <f t="shared" si="3"/>
        <v>78570</v>
      </c>
      <c r="I28" s="7" t="s">
        <v>159</v>
      </c>
      <c r="J28" s="4" t="s">
        <v>21</v>
      </c>
      <c r="K28" s="4" t="s">
        <v>111</v>
      </c>
      <c r="L28" s="8" t="s">
        <v>160</v>
      </c>
      <c r="M28" s="9" t="s">
        <v>113</v>
      </c>
      <c r="N28" s="46" t="s">
        <v>56</v>
      </c>
      <c r="O28" s="9"/>
      <c r="P28" s="10" t="s">
        <v>27</v>
      </c>
    </row>
    <row r="29" spans="1:16" x14ac:dyDescent="0.25">
      <c r="A29" s="4">
        <v>28</v>
      </c>
      <c r="B29" s="4" t="s">
        <v>161</v>
      </c>
      <c r="C29" s="4" t="s">
        <v>162</v>
      </c>
      <c r="D29" s="4">
        <v>25</v>
      </c>
      <c r="E29" s="4" t="s">
        <v>163</v>
      </c>
      <c r="F29" s="5">
        <v>0.14000000000000001</v>
      </c>
      <c r="G29" s="5">
        <f t="shared" si="2"/>
        <v>3.5000000000000004</v>
      </c>
      <c r="H29" s="6">
        <f t="shared" si="3"/>
        <v>91665.000000000015</v>
      </c>
      <c r="I29" s="7" t="s">
        <v>164</v>
      </c>
      <c r="J29" s="4" t="s">
        <v>21</v>
      </c>
      <c r="K29" s="4" t="s">
        <v>111</v>
      </c>
      <c r="L29" s="8" t="s">
        <v>118</v>
      </c>
      <c r="M29" s="9" t="s">
        <v>113</v>
      </c>
      <c r="N29" s="46" t="s">
        <v>56</v>
      </c>
      <c r="O29" s="9"/>
      <c r="P29" s="10" t="s">
        <v>27</v>
      </c>
    </row>
    <row r="30" spans="1:16" x14ac:dyDescent="0.25">
      <c r="A30" s="4">
        <v>29</v>
      </c>
      <c r="B30" s="4" t="s">
        <v>165</v>
      </c>
      <c r="C30" s="4" t="s">
        <v>166</v>
      </c>
      <c r="D30" s="4">
        <v>25</v>
      </c>
      <c r="E30" s="4" t="s">
        <v>167</v>
      </c>
      <c r="F30" s="5">
        <v>0.1</v>
      </c>
      <c r="G30" s="5">
        <f t="shared" si="2"/>
        <v>2.5</v>
      </c>
      <c r="H30" s="6">
        <f t="shared" si="3"/>
        <v>65475</v>
      </c>
      <c r="I30" s="7" t="s">
        <v>168</v>
      </c>
      <c r="J30" s="4" t="s">
        <v>21</v>
      </c>
      <c r="K30" s="4" t="s">
        <v>111</v>
      </c>
      <c r="L30" s="8" t="s">
        <v>169</v>
      </c>
      <c r="M30" s="9" t="s">
        <v>113</v>
      </c>
      <c r="N30" s="46" t="s">
        <v>56</v>
      </c>
      <c r="O30" s="9"/>
      <c r="P30" s="10" t="s">
        <v>27</v>
      </c>
    </row>
    <row r="31" spans="1:16" x14ac:dyDescent="0.25">
      <c r="A31" s="4">
        <v>30</v>
      </c>
      <c r="B31" s="25" t="s">
        <v>170</v>
      </c>
      <c r="C31" s="25" t="s">
        <v>171</v>
      </c>
      <c r="D31" s="25">
        <v>25</v>
      </c>
      <c r="E31" s="25" t="s">
        <v>172</v>
      </c>
      <c r="F31" s="26">
        <v>0.1</v>
      </c>
      <c r="G31" s="11">
        <f t="shared" si="2"/>
        <v>2.5</v>
      </c>
      <c r="H31" s="27">
        <f t="shared" si="3"/>
        <v>65475</v>
      </c>
      <c r="I31" s="28" t="s">
        <v>173</v>
      </c>
      <c r="J31" s="14" t="s">
        <v>21</v>
      </c>
      <c r="K31" s="25" t="s">
        <v>53</v>
      </c>
      <c r="L31" s="29">
        <v>49.9</v>
      </c>
      <c r="M31" s="30" t="s">
        <v>55</v>
      </c>
      <c r="N31" s="46" t="s">
        <v>56</v>
      </c>
      <c r="O31" s="30"/>
      <c r="P31" s="10" t="s">
        <v>27</v>
      </c>
    </row>
    <row r="32" spans="1:16" x14ac:dyDescent="0.25">
      <c r="A32" s="4">
        <v>31</v>
      </c>
      <c r="B32" s="25" t="s">
        <v>174</v>
      </c>
      <c r="C32" s="25" t="s">
        <v>175</v>
      </c>
      <c r="D32" s="25">
        <v>4</v>
      </c>
      <c r="E32" s="25" t="s">
        <v>176</v>
      </c>
      <c r="F32" s="26">
        <v>4.59</v>
      </c>
      <c r="G32" s="11">
        <f t="shared" si="2"/>
        <v>18.36</v>
      </c>
      <c r="H32" s="27">
        <f t="shared" si="3"/>
        <v>480848.39999999997</v>
      </c>
      <c r="I32" s="28" t="s">
        <v>177</v>
      </c>
      <c r="J32" s="14" t="s">
        <v>21</v>
      </c>
      <c r="K32" s="25" t="s">
        <v>22</v>
      </c>
      <c r="L32" s="29" t="s">
        <v>23</v>
      </c>
      <c r="M32" s="8" t="s">
        <v>24</v>
      </c>
      <c r="N32" s="30" t="s">
        <v>178</v>
      </c>
      <c r="O32" s="30" t="s">
        <v>179</v>
      </c>
      <c r="P32" s="10" t="s">
        <v>27</v>
      </c>
    </row>
    <row r="33" spans="1:16" x14ac:dyDescent="0.25">
      <c r="A33" s="4">
        <v>32</v>
      </c>
      <c r="B33" s="25" t="s">
        <v>180</v>
      </c>
      <c r="C33" s="25" t="s">
        <v>181</v>
      </c>
      <c r="D33" s="25">
        <v>25</v>
      </c>
      <c r="E33" s="25" t="s">
        <v>182</v>
      </c>
      <c r="F33" s="26">
        <v>0.11</v>
      </c>
      <c r="G33" s="11">
        <f t="shared" si="2"/>
        <v>2.75</v>
      </c>
      <c r="H33" s="27">
        <f t="shared" si="3"/>
        <v>72022.5</v>
      </c>
      <c r="I33" s="28" t="s">
        <v>183</v>
      </c>
      <c r="J33" s="14" t="s">
        <v>21</v>
      </c>
      <c r="K33" s="25" t="s">
        <v>184</v>
      </c>
      <c r="L33" s="29" t="s">
        <v>185</v>
      </c>
      <c r="M33" s="30" t="s">
        <v>186</v>
      </c>
      <c r="N33" s="46" t="s">
        <v>56</v>
      </c>
      <c r="O33" s="30"/>
      <c r="P33" s="10" t="s">
        <v>27</v>
      </c>
    </row>
    <row r="34" spans="1:16" x14ac:dyDescent="0.25">
      <c r="A34" s="4">
        <v>33</v>
      </c>
      <c r="B34" s="25" t="s">
        <v>187</v>
      </c>
      <c r="C34" s="25" t="s">
        <v>188</v>
      </c>
      <c r="D34" s="25">
        <v>25</v>
      </c>
      <c r="E34" s="25" t="s">
        <v>189</v>
      </c>
      <c r="F34" s="26">
        <v>0.11</v>
      </c>
      <c r="G34" s="11">
        <f t="shared" si="2"/>
        <v>2.75</v>
      </c>
      <c r="H34" s="27">
        <f t="shared" si="3"/>
        <v>72022.5</v>
      </c>
      <c r="I34" s="28" t="s">
        <v>190</v>
      </c>
      <c r="J34" s="14" t="s">
        <v>21</v>
      </c>
      <c r="K34" s="25" t="s">
        <v>184</v>
      </c>
      <c r="L34" s="29" t="s">
        <v>191</v>
      </c>
      <c r="M34" s="30" t="s">
        <v>186</v>
      </c>
      <c r="N34" s="46" t="s">
        <v>56</v>
      </c>
      <c r="O34" s="30"/>
      <c r="P34" s="10" t="s">
        <v>27</v>
      </c>
    </row>
    <row r="35" spans="1:16" x14ac:dyDescent="0.25">
      <c r="A35" s="4">
        <v>34</v>
      </c>
      <c r="B35" s="25" t="s">
        <v>192</v>
      </c>
      <c r="C35" s="25" t="s">
        <v>193</v>
      </c>
      <c r="D35" s="25">
        <v>25</v>
      </c>
      <c r="E35" s="25" t="s">
        <v>194</v>
      </c>
      <c r="F35" s="26">
        <v>0.11</v>
      </c>
      <c r="G35" s="11">
        <f t="shared" si="2"/>
        <v>2.75</v>
      </c>
      <c r="H35" s="27">
        <f t="shared" si="3"/>
        <v>72022.5</v>
      </c>
      <c r="I35" s="28" t="s">
        <v>195</v>
      </c>
      <c r="J35" s="14" t="s">
        <v>21</v>
      </c>
      <c r="K35" s="25" t="s">
        <v>184</v>
      </c>
      <c r="L35" s="29" t="s">
        <v>196</v>
      </c>
      <c r="M35" s="30" t="s">
        <v>186</v>
      </c>
      <c r="N35" s="46" t="s">
        <v>56</v>
      </c>
      <c r="O35" s="30"/>
      <c r="P35" s="10" t="s">
        <v>27</v>
      </c>
    </row>
    <row r="36" spans="1:16" x14ac:dyDescent="0.25">
      <c r="A36" s="4">
        <v>35</v>
      </c>
      <c r="B36" s="25" t="s">
        <v>197</v>
      </c>
      <c r="C36" s="25" t="s">
        <v>198</v>
      </c>
      <c r="D36" s="25">
        <v>4</v>
      </c>
      <c r="E36" s="25" t="s">
        <v>199</v>
      </c>
      <c r="F36" s="26">
        <v>3.85</v>
      </c>
      <c r="G36" s="11">
        <f t="shared" si="2"/>
        <v>15.4</v>
      </c>
      <c r="H36" s="27">
        <f t="shared" si="3"/>
        <v>403326</v>
      </c>
      <c r="I36" s="28" t="s">
        <v>200</v>
      </c>
      <c r="J36" s="14" t="s">
        <v>21</v>
      </c>
      <c r="K36" s="25" t="s">
        <v>201</v>
      </c>
      <c r="L36" s="29" t="s">
        <v>202</v>
      </c>
      <c r="M36" s="30" t="s">
        <v>203</v>
      </c>
      <c r="N36" s="30" t="s">
        <v>204</v>
      </c>
      <c r="O36" s="30"/>
      <c r="P36" s="10" t="s">
        <v>27</v>
      </c>
    </row>
    <row r="37" spans="1:16" x14ac:dyDescent="0.25">
      <c r="A37" s="4">
        <v>36</v>
      </c>
      <c r="B37" s="25" t="s">
        <v>205</v>
      </c>
      <c r="C37" s="25" t="s">
        <v>206</v>
      </c>
      <c r="D37" s="25">
        <v>10</v>
      </c>
      <c r="E37" s="25" t="s">
        <v>207</v>
      </c>
      <c r="F37" s="26">
        <v>0.25</v>
      </c>
      <c r="G37" s="11">
        <f t="shared" si="2"/>
        <v>2.5</v>
      </c>
      <c r="H37" s="27">
        <f t="shared" si="3"/>
        <v>65475</v>
      </c>
      <c r="I37" s="28" t="s">
        <v>208</v>
      </c>
      <c r="J37" s="14" t="s">
        <v>21</v>
      </c>
      <c r="K37" s="25" t="s">
        <v>22</v>
      </c>
      <c r="L37" s="29" t="s">
        <v>23</v>
      </c>
      <c r="M37" s="30" t="s">
        <v>24</v>
      </c>
      <c r="N37" s="30" t="s">
        <v>209</v>
      </c>
      <c r="O37" s="30"/>
      <c r="P37" s="10" t="s">
        <v>27</v>
      </c>
    </row>
    <row r="38" spans="1:16" x14ac:dyDescent="0.25">
      <c r="A38" s="4">
        <v>37</v>
      </c>
      <c r="B38" s="25" t="s">
        <v>210</v>
      </c>
      <c r="C38" s="25" t="s">
        <v>211</v>
      </c>
      <c r="D38" s="25">
        <v>10</v>
      </c>
      <c r="E38" s="25" t="s">
        <v>212</v>
      </c>
      <c r="F38" s="26">
        <v>0.42599999999999999</v>
      </c>
      <c r="G38" s="11">
        <f t="shared" si="2"/>
        <v>4.26</v>
      </c>
      <c r="H38" s="27">
        <f t="shared" si="3"/>
        <v>111569.4</v>
      </c>
      <c r="I38" s="28" t="s">
        <v>213</v>
      </c>
      <c r="J38" s="14" t="s">
        <v>21</v>
      </c>
      <c r="K38" s="25" t="s">
        <v>214</v>
      </c>
      <c r="L38" s="29" t="s">
        <v>23</v>
      </c>
      <c r="M38" s="30" t="s">
        <v>24</v>
      </c>
      <c r="N38" s="48" t="s">
        <v>215</v>
      </c>
      <c r="O38" s="30"/>
      <c r="P38" s="10" t="s">
        <v>27</v>
      </c>
    </row>
    <row r="39" spans="1:16" x14ac:dyDescent="0.25">
      <c r="A39" s="4">
        <v>38</v>
      </c>
      <c r="B39" s="25" t="s">
        <v>216</v>
      </c>
      <c r="C39" s="25" t="s">
        <v>217</v>
      </c>
      <c r="D39" s="25">
        <v>10</v>
      </c>
      <c r="E39" s="25" t="s">
        <v>218</v>
      </c>
      <c r="F39" s="26">
        <v>0.25</v>
      </c>
      <c r="G39" s="11">
        <f t="shared" si="2"/>
        <v>2.5</v>
      </c>
      <c r="H39" s="27">
        <f t="shared" si="3"/>
        <v>65475</v>
      </c>
      <c r="I39" s="28" t="s">
        <v>219</v>
      </c>
      <c r="J39" s="14" t="s">
        <v>21</v>
      </c>
      <c r="K39" s="16" t="s">
        <v>220</v>
      </c>
      <c r="L39" s="29"/>
      <c r="M39" s="30"/>
      <c r="N39" s="30" t="s">
        <v>221</v>
      </c>
      <c r="O39" s="30"/>
      <c r="P39" s="10" t="s">
        <v>27</v>
      </c>
    </row>
    <row r="40" spans="1:16" x14ac:dyDescent="0.25">
      <c r="A40" s="4">
        <v>39</v>
      </c>
      <c r="B40" s="31" t="s">
        <v>328</v>
      </c>
      <c r="C40" s="31" t="s">
        <v>327</v>
      </c>
      <c r="D40" s="31">
        <v>10</v>
      </c>
      <c r="E40" s="31" t="s">
        <v>329</v>
      </c>
      <c r="F40" s="32">
        <v>0.42199999999999999</v>
      </c>
      <c r="G40" s="11">
        <f t="shared" si="2"/>
        <v>4.22</v>
      </c>
      <c r="H40" s="33">
        <f t="shared" si="3"/>
        <v>110521.79999999999</v>
      </c>
      <c r="I40" s="50" t="s">
        <v>330</v>
      </c>
      <c r="J40" s="51" t="s">
        <v>331</v>
      </c>
      <c r="K40" s="16" t="s">
        <v>220</v>
      </c>
      <c r="L40" s="34"/>
      <c r="M40" s="35"/>
      <c r="N40" s="35"/>
      <c r="O40" s="35"/>
      <c r="P40" s="10" t="s">
        <v>27</v>
      </c>
    </row>
    <row r="41" spans="1:16" x14ac:dyDescent="0.25">
      <c r="A41" s="4">
        <v>40</v>
      </c>
      <c r="B41" s="16" t="s">
        <v>222</v>
      </c>
      <c r="C41" s="16" t="s">
        <v>223</v>
      </c>
      <c r="D41" s="16">
        <v>10</v>
      </c>
      <c r="E41" s="16" t="s">
        <v>224</v>
      </c>
      <c r="F41" s="17">
        <v>0.34599999999999997</v>
      </c>
      <c r="G41" s="11">
        <f>F41*D41</f>
        <v>3.46</v>
      </c>
      <c r="H41" s="18">
        <f>G41*26190</f>
        <v>90617.4</v>
      </c>
      <c r="I41" s="19" t="s">
        <v>225</v>
      </c>
      <c r="J41" s="14" t="s">
        <v>21</v>
      </c>
      <c r="K41" s="16" t="s">
        <v>220</v>
      </c>
      <c r="L41" s="21"/>
      <c r="M41" s="23"/>
      <c r="N41" s="23"/>
      <c r="O41" s="23"/>
      <c r="P41" s="10" t="s">
        <v>27</v>
      </c>
    </row>
    <row r="42" spans="1:16" x14ac:dyDescent="0.25">
      <c r="A42" s="4">
        <v>41</v>
      </c>
      <c r="B42" s="16" t="s">
        <v>226</v>
      </c>
      <c r="C42" s="16" t="s">
        <v>227</v>
      </c>
      <c r="D42" s="16">
        <v>10</v>
      </c>
      <c r="E42" s="16" t="s">
        <v>228</v>
      </c>
      <c r="F42" s="17">
        <v>1</v>
      </c>
      <c r="G42" s="11">
        <f t="shared" ref="G42:G63" si="4">F42*D42</f>
        <v>10</v>
      </c>
      <c r="H42" s="18">
        <f t="shared" ref="H42:H63" si="5">G42*26190</f>
        <v>261900</v>
      </c>
      <c r="I42" s="19" t="s">
        <v>229</v>
      </c>
      <c r="J42" s="14" t="s">
        <v>21</v>
      </c>
      <c r="K42" s="14" t="s">
        <v>111</v>
      </c>
      <c r="L42" s="21" t="s">
        <v>230</v>
      </c>
      <c r="M42" s="22" t="s">
        <v>113</v>
      </c>
      <c r="N42" s="23"/>
      <c r="O42" s="23"/>
      <c r="P42" s="10" t="s">
        <v>27</v>
      </c>
    </row>
    <row r="43" spans="1:16" x14ac:dyDescent="0.25">
      <c r="A43" s="4">
        <v>42</v>
      </c>
      <c r="B43" s="16" t="s">
        <v>231</v>
      </c>
      <c r="C43" s="16" t="s">
        <v>115</v>
      </c>
      <c r="D43" s="16">
        <v>30</v>
      </c>
      <c r="E43" s="16" t="s">
        <v>6</v>
      </c>
      <c r="F43" s="17">
        <v>0.14000000000000001</v>
      </c>
      <c r="G43" s="11">
        <f t="shared" si="4"/>
        <v>4.2</v>
      </c>
      <c r="H43" s="18">
        <f t="shared" si="5"/>
        <v>109998</v>
      </c>
      <c r="I43" s="19" t="s">
        <v>232</v>
      </c>
      <c r="J43" s="14" t="s">
        <v>21</v>
      </c>
      <c r="K43" s="14" t="s">
        <v>111</v>
      </c>
      <c r="L43" s="21" t="s">
        <v>233</v>
      </c>
      <c r="M43" s="22" t="s">
        <v>113</v>
      </c>
      <c r="N43" s="23"/>
      <c r="O43" s="23"/>
      <c r="P43" s="10" t="s">
        <v>27</v>
      </c>
    </row>
    <row r="44" spans="1:16" x14ac:dyDescent="0.25">
      <c r="A44" s="4">
        <v>43</v>
      </c>
      <c r="B44" s="16" t="s">
        <v>234</v>
      </c>
      <c r="C44" s="16" t="s">
        <v>235</v>
      </c>
      <c r="D44" s="16">
        <v>4</v>
      </c>
      <c r="E44" s="16" t="s">
        <v>236</v>
      </c>
      <c r="F44" s="17">
        <v>10.75</v>
      </c>
      <c r="G44" s="11">
        <f t="shared" si="4"/>
        <v>43</v>
      </c>
      <c r="H44" s="18">
        <f t="shared" si="5"/>
        <v>1126170</v>
      </c>
      <c r="I44" s="19" t="s">
        <v>237</v>
      </c>
      <c r="J44" s="14" t="s">
        <v>21</v>
      </c>
      <c r="K44" s="16" t="s">
        <v>22</v>
      </c>
      <c r="L44" s="21"/>
      <c r="M44" s="21"/>
      <c r="N44" s="23"/>
      <c r="O44" s="23"/>
      <c r="P44" s="10" t="s">
        <v>27</v>
      </c>
    </row>
    <row r="45" spans="1:16" x14ac:dyDescent="0.25">
      <c r="A45" s="4">
        <v>44</v>
      </c>
      <c r="B45" s="16" t="s">
        <v>238</v>
      </c>
      <c r="C45" s="16" t="s">
        <v>239</v>
      </c>
      <c r="D45" s="16">
        <v>30</v>
      </c>
      <c r="E45" s="16" t="s">
        <v>240</v>
      </c>
      <c r="F45" s="17">
        <v>0.47599999999999998</v>
      </c>
      <c r="G45" s="11">
        <f t="shared" si="4"/>
        <v>14.28</v>
      </c>
      <c r="H45" s="18">
        <f t="shared" si="5"/>
        <v>373993.2</v>
      </c>
      <c r="I45" s="19" t="s">
        <v>241</v>
      </c>
      <c r="J45" s="14" t="s">
        <v>21</v>
      </c>
      <c r="K45" s="16" t="s">
        <v>220</v>
      </c>
      <c r="L45" s="21"/>
      <c r="M45" s="21"/>
      <c r="N45" s="23"/>
      <c r="O45" s="23"/>
      <c r="P45" s="10" t="s">
        <v>27</v>
      </c>
    </row>
    <row r="46" spans="1:16" x14ac:dyDescent="0.25">
      <c r="A46" s="4">
        <v>45</v>
      </c>
      <c r="B46" s="16" t="s">
        <v>242</v>
      </c>
      <c r="C46" s="16" t="s">
        <v>243</v>
      </c>
      <c r="D46" s="16">
        <v>30</v>
      </c>
      <c r="E46" s="16" t="s">
        <v>244</v>
      </c>
      <c r="F46" s="17">
        <v>0.24</v>
      </c>
      <c r="G46" s="11">
        <f t="shared" si="4"/>
        <v>7.1999999999999993</v>
      </c>
      <c r="H46" s="18">
        <f t="shared" si="5"/>
        <v>188567.99999999997</v>
      </c>
      <c r="I46" s="19" t="s">
        <v>245</v>
      </c>
      <c r="J46" s="14" t="s">
        <v>21</v>
      </c>
      <c r="K46" s="16" t="s">
        <v>53</v>
      </c>
      <c r="L46" s="21">
        <v>604</v>
      </c>
      <c r="M46" s="21" t="s">
        <v>55</v>
      </c>
      <c r="N46" s="46" t="s">
        <v>56</v>
      </c>
      <c r="O46" s="23"/>
      <c r="P46" s="10" t="s">
        <v>27</v>
      </c>
    </row>
    <row r="47" spans="1:16" x14ac:dyDescent="0.25">
      <c r="A47" s="4">
        <v>46</v>
      </c>
      <c r="B47" s="16" t="s">
        <v>246</v>
      </c>
      <c r="C47" s="16" t="s">
        <v>247</v>
      </c>
      <c r="D47" s="16">
        <v>30</v>
      </c>
      <c r="E47" s="16" t="s">
        <v>248</v>
      </c>
      <c r="F47" s="17">
        <v>0.1</v>
      </c>
      <c r="G47" s="11">
        <f t="shared" si="4"/>
        <v>3</v>
      </c>
      <c r="H47" s="18">
        <f t="shared" si="5"/>
        <v>78570</v>
      </c>
      <c r="I47" s="19" t="s">
        <v>249</v>
      </c>
      <c r="J47" s="14" t="s">
        <v>21</v>
      </c>
      <c r="K47" s="16" t="s">
        <v>53</v>
      </c>
      <c r="L47" s="21" t="s">
        <v>250</v>
      </c>
      <c r="M47" s="21" t="s">
        <v>55</v>
      </c>
      <c r="N47" s="46" t="s">
        <v>56</v>
      </c>
      <c r="O47" s="23"/>
      <c r="P47" s="10" t="s">
        <v>27</v>
      </c>
    </row>
    <row r="48" spans="1:16" x14ac:dyDescent="0.25">
      <c r="A48" s="4">
        <v>47</v>
      </c>
      <c r="B48" s="16" t="s">
        <v>251</v>
      </c>
      <c r="C48" s="16" t="s">
        <v>252</v>
      </c>
      <c r="D48" s="16">
        <v>30</v>
      </c>
      <c r="E48" s="16" t="s">
        <v>253</v>
      </c>
      <c r="F48" s="17">
        <v>0.1</v>
      </c>
      <c r="G48" s="11">
        <f t="shared" si="4"/>
        <v>3</v>
      </c>
      <c r="H48" s="18">
        <f t="shared" si="5"/>
        <v>78570</v>
      </c>
      <c r="I48" s="19" t="s">
        <v>254</v>
      </c>
      <c r="J48" s="14" t="s">
        <v>21</v>
      </c>
      <c r="K48" s="16" t="s">
        <v>53</v>
      </c>
      <c r="L48" s="21" t="s">
        <v>255</v>
      </c>
      <c r="M48" s="21" t="s">
        <v>55</v>
      </c>
      <c r="N48" s="46" t="s">
        <v>56</v>
      </c>
      <c r="O48" s="23"/>
      <c r="P48" s="10" t="s">
        <v>27</v>
      </c>
    </row>
    <row r="49" spans="1:16" x14ac:dyDescent="0.25">
      <c r="A49" s="4">
        <v>48</v>
      </c>
      <c r="B49" s="16" t="s">
        <v>256</v>
      </c>
      <c r="C49" s="16" t="s">
        <v>257</v>
      </c>
      <c r="D49" s="16">
        <v>30</v>
      </c>
      <c r="E49" s="16" t="s">
        <v>258</v>
      </c>
      <c r="F49" s="17">
        <v>0.12</v>
      </c>
      <c r="G49" s="11">
        <f>F49*D49</f>
        <v>3.5999999999999996</v>
      </c>
      <c r="H49" s="18">
        <f t="shared" si="5"/>
        <v>94283.999999999985</v>
      </c>
      <c r="I49" s="19" t="s">
        <v>259</v>
      </c>
      <c r="J49" s="14" t="s">
        <v>21</v>
      </c>
      <c r="K49" s="14" t="s">
        <v>111</v>
      </c>
      <c r="L49" s="21" t="s">
        <v>260</v>
      </c>
      <c r="M49" s="22" t="s">
        <v>113</v>
      </c>
      <c r="N49" s="23"/>
      <c r="O49" s="23"/>
      <c r="P49" s="10" t="s">
        <v>27</v>
      </c>
    </row>
    <row r="50" spans="1:16" x14ac:dyDescent="0.25">
      <c r="A50" s="4">
        <v>49</v>
      </c>
      <c r="B50" s="16" t="s">
        <v>261</v>
      </c>
      <c r="C50" s="16" t="s">
        <v>262</v>
      </c>
      <c r="D50" s="16">
        <v>30</v>
      </c>
      <c r="E50" s="16" t="s">
        <v>263</v>
      </c>
      <c r="F50" s="17">
        <v>0.1</v>
      </c>
      <c r="G50" s="11">
        <f t="shared" si="4"/>
        <v>3</v>
      </c>
      <c r="H50" s="18">
        <f t="shared" si="5"/>
        <v>78570</v>
      </c>
      <c r="I50" s="19" t="s">
        <v>264</v>
      </c>
      <c r="J50" s="14" t="s">
        <v>21</v>
      </c>
      <c r="K50" s="16" t="s">
        <v>53</v>
      </c>
      <c r="L50" s="21" t="s">
        <v>265</v>
      </c>
      <c r="M50" s="21" t="s">
        <v>55</v>
      </c>
      <c r="N50" s="46" t="s">
        <v>56</v>
      </c>
      <c r="O50" s="23"/>
      <c r="P50" s="10" t="s">
        <v>27</v>
      </c>
    </row>
    <row r="51" spans="1:16" x14ac:dyDescent="0.25">
      <c r="A51" s="4">
        <v>50</v>
      </c>
      <c r="B51" s="16" t="s">
        <v>266</v>
      </c>
      <c r="C51" s="16" t="s">
        <v>267</v>
      </c>
      <c r="D51" s="16">
        <v>30</v>
      </c>
      <c r="E51" s="16" t="s">
        <v>268</v>
      </c>
      <c r="F51" s="17">
        <v>0.13</v>
      </c>
      <c r="G51" s="11">
        <f t="shared" si="4"/>
        <v>3.9000000000000004</v>
      </c>
      <c r="H51" s="18">
        <f t="shared" si="5"/>
        <v>102141.00000000001</v>
      </c>
      <c r="I51" s="19" t="s">
        <v>269</v>
      </c>
      <c r="J51" s="14" t="s">
        <v>21</v>
      </c>
      <c r="K51" s="14" t="s">
        <v>111</v>
      </c>
      <c r="L51" s="21" t="s">
        <v>270</v>
      </c>
      <c r="M51" s="22" t="s">
        <v>113</v>
      </c>
      <c r="N51" s="46" t="s">
        <v>56</v>
      </c>
      <c r="O51" s="23"/>
      <c r="P51" s="10" t="s">
        <v>27</v>
      </c>
    </row>
    <row r="52" spans="1:16" x14ac:dyDescent="0.25">
      <c r="A52" s="4">
        <v>51</v>
      </c>
      <c r="B52" s="16" t="s">
        <v>271</v>
      </c>
      <c r="C52" s="16" t="s">
        <v>272</v>
      </c>
      <c r="D52" s="16">
        <v>30</v>
      </c>
      <c r="E52" s="16" t="s">
        <v>273</v>
      </c>
      <c r="F52" s="17">
        <v>0.1</v>
      </c>
      <c r="G52" s="11">
        <f t="shared" si="4"/>
        <v>3</v>
      </c>
      <c r="H52" s="18">
        <f t="shared" si="5"/>
        <v>78570</v>
      </c>
      <c r="I52" s="19" t="s">
        <v>274</v>
      </c>
      <c r="J52" s="14" t="s">
        <v>21</v>
      </c>
      <c r="K52" s="16" t="s">
        <v>53</v>
      </c>
      <c r="L52" s="21" t="s">
        <v>275</v>
      </c>
      <c r="M52" s="21" t="s">
        <v>55</v>
      </c>
      <c r="N52" s="46" t="s">
        <v>56</v>
      </c>
      <c r="O52" s="23"/>
      <c r="P52" s="10" t="s">
        <v>27</v>
      </c>
    </row>
    <row r="53" spans="1:16" x14ac:dyDescent="0.25">
      <c r="A53" s="4">
        <v>52</v>
      </c>
      <c r="B53" s="16" t="s">
        <v>276</v>
      </c>
      <c r="C53" s="16" t="s">
        <v>277</v>
      </c>
      <c r="D53" s="16">
        <v>30</v>
      </c>
      <c r="E53" s="16" t="s">
        <v>278</v>
      </c>
      <c r="F53" s="17">
        <v>0.15</v>
      </c>
      <c r="G53" s="11">
        <f t="shared" si="4"/>
        <v>4.5</v>
      </c>
      <c r="H53" s="18">
        <f t="shared" si="5"/>
        <v>117855</v>
      </c>
      <c r="I53" s="19" t="s">
        <v>279</v>
      </c>
      <c r="J53" s="14" t="s">
        <v>21</v>
      </c>
      <c r="K53" s="14" t="s">
        <v>111</v>
      </c>
      <c r="L53" s="21" t="s">
        <v>280</v>
      </c>
      <c r="M53" s="22" t="s">
        <v>113</v>
      </c>
      <c r="N53" s="46" t="s">
        <v>56</v>
      </c>
      <c r="O53" s="23"/>
      <c r="P53" s="10" t="s">
        <v>27</v>
      </c>
    </row>
    <row r="54" spans="1:16" x14ac:dyDescent="0.25">
      <c r="A54" s="4">
        <v>53</v>
      </c>
      <c r="B54" s="36" t="s">
        <v>281</v>
      </c>
      <c r="C54" s="36" t="s">
        <v>282</v>
      </c>
      <c r="D54" s="36">
        <v>30</v>
      </c>
      <c r="E54" s="36" t="s">
        <v>283</v>
      </c>
      <c r="F54" s="37">
        <v>0.08</v>
      </c>
      <c r="G54" s="11">
        <f t="shared" si="4"/>
        <v>2.4</v>
      </c>
      <c r="H54" s="38">
        <f t="shared" si="5"/>
        <v>62856</v>
      </c>
      <c r="I54" s="39" t="s">
        <v>284</v>
      </c>
      <c r="J54" s="14" t="s">
        <v>21</v>
      </c>
      <c r="K54" s="14" t="s">
        <v>111</v>
      </c>
      <c r="L54" s="21" t="s">
        <v>285</v>
      </c>
      <c r="M54" s="22" t="s">
        <v>113</v>
      </c>
      <c r="N54" s="46" t="s">
        <v>56</v>
      </c>
      <c r="O54" s="40"/>
      <c r="P54" s="10" t="s">
        <v>27</v>
      </c>
    </row>
    <row r="55" spans="1:16" x14ac:dyDescent="0.25">
      <c r="A55" s="4">
        <v>54</v>
      </c>
      <c r="B55" s="16" t="s">
        <v>286</v>
      </c>
      <c r="C55" s="16" t="s">
        <v>287</v>
      </c>
      <c r="D55" s="16">
        <v>4</v>
      </c>
      <c r="E55" s="16" t="s">
        <v>288</v>
      </c>
      <c r="F55" s="17">
        <v>4.05</v>
      </c>
      <c r="G55" s="11">
        <f t="shared" si="4"/>
        <v>16.2</v>
      </c>
      <c r="H55" s="18">
        <f t="shared" si="5"/>
        <v>424278</v>
      </c>
      <c r="I55" s="19" t="s">
        <v>289</v>
      </c>
      <c r="J55" s="14" t="s">
        <v>21</v>
      </c>
      <c r="K55" s="16" t="s">
        <v>22</v>
      </c>
      <c r="L55" s="21" t="s">
        <v>23</v>
      </c>
      <c r="M55" s="21" t="s">
        <v>24</v>
      </c>
      <c r="N55" s="23"/>
      <c r="O55" s="23"/>
      <c r="P55" s="10" t="s">
        <v>27</v>
      </c>
    </row>
    <row r="56" spans="1:16" x14ac:dyDescent="0.25">
      <c r="A56" s="4">
        <v>55</v>
      </c>
      <c r="B56" s="16" t="s">
        <v>290</v>
      </c>
      <c r="C56" s="16" t="s">
        <v>291</v>
      </c>
      <c r="D56" s="16">
        <v>4</v>
      </c>
      <c r="E56" s="16" t="s">
        <v>292</v>
      </c>
      <c r="F56" s="17">
        <v>5.05</v>
      </c>
      <c r="G56" s="11">
        <f t="shared" si="4"/>
        <v>20.2</v>
      </c>
      <c r="H56" s="18">
        <f t="shared" si="5"/>
        <v>529038</v>
      </c>
      <c r="I56" s="19" t="s">
        <v>293</v>
      </c>
      <c r="J56" s="14" t="s">
        <v>21</v>
      </c>
      <c r="K56" s="16" t="s">
        <v>22</v>
      </c>
      <c r="L56" s="21" t="s">
        <v>23</v>
      </c>
      <c r="M56" s="21" t="s">
        <v>24</v>
      </c>
      <c r="N56" s="23"/>
      <c r="O56" s="23"/>
      <c r="P56" s="10" t="s">
        <v>27</v>
      </c>
    </row>
    <row r="57" spans="1:16" x14ac:dyDescent="0.25">
      <c r="A57" s="4">
        <v>56</v>
      </c>
      <c r="B57" s="16" t="s">
        <v>294</v>
      </c>
      <c r="C57" s="16" t="s">
        <v>295</v>
      </c>
      <c r="D57" s="16">
        <v>10</v>
      </c>
      <c r="E57" s="16" t="s">
        <v>296</v>
      </c>
      <c r="F57" s="17">
        <v>0.32</v>
      </c>
      <c r="G57" s="11">
        <f t="shared" si="4"/>
        <v>3.2</v>
      </c>
      <c r="H57" s="18">
        <f t="shared" si="5"/>
        <v>83808</v>
      </c>
      <c r="I57" s="19" t="s">
        <v>297</v>
      </c>
      <c r="J57" s="14" t="s">
        <v>21</v>
      </c>
      <c r="K57" s="16" t="s">
        <v>22</v>
      </c>
      <c r="L57" s="21" t="s">
        <v>23</v>
      </c>
      <c r="M57" s="21" t="s">
        <v>24</v>
      </c>
      <c r="N57" s="23"/>
      <c r="O57" s="23"/>
      <c r="P57" s="10" t="s">
        <v>27</v>
      </c>
    </row>
    <row r="58" spans="1:16" x14ac:dyDescent="0.25">
      <c r="A58" s="4">
        <v>57</v>
      </c>
      <c r="B58" s="16" t="s">
        <v>205</v>
      </c>
      <c r="C58" s="16" t="s">
        <v>206</v>
      </c>
      <c r="D58" s="16">
        <v>10</v>
      </c>
      <c r="E58" s="16" t="s">
        <v>298</v>
      </c>
      <c r="F58" s="17">
        <v>0.36</v>
      </c>
      <c r="G58" s="11">
        <f t="shared" si="4"/>
        <v>3.5999999999999996</v>
      </c>
      <c r="H58" s="18">
        <f t="shared" si="5"/>
        <v>94283.999999999985</v>
      </c>
      <c r="I58" s="19" t="s">
        <v>299</v>
      </c>
      <c r="J58" s="14" t="s">
        <v>21</v>
      </c>
      <c r="K58" s="16" t="s">
        <v>22</v>
      </c>
      <c r="L58" s="21" t="s">
        <v>23</v>
      </c>
      <c r="M58" s="21" t="s">
        <v>24</v>
      </c>
      <c r="N58" s="23"/>
      <c r="O58" s="23"/>
      <c r="P58" s="10" t="s">
        <v>27</v>
      </c>
    </row>
    <row r="59" spans="1:16" x14ac:dyDescent="0.25">
      <c r="A59" s="4">
        <v>58</v>
      </c>
      <c r="B59" s="16" t="s">
        <v>300</v>
      </c>
      <c r="C59" s="16" t="s">
        <v>301</v>
      </c>
      <c r="D59" s="16">
        <v>25</v>
      </c>
      <c r="E59" s="16" t="s">
        <v>302</v>
      </c>
      <c r="F59" s="17">
        <v>0.1</v>
      </c>
      <c r="G59" s="11">
        <f t="shared" si="4"/>
        <v>2.5</v>
      </c>
      <c r="H59" s="18">
        <f t="shared" si="5"/>
        <v>65475</v>
      </c>
      <c r="I59" s="19" t="s">
        <v>303</v>
      </c>
      <c r="J59" s="14" t="s">
        <v>21</v>
      </c>
      <c r="K59" s="16"/>
      <c r="L59" s="21"/>
      <c r="M59" s="21"/>
      <c r="N59" s="46" t="s">
        <v>56</v>
      </c>
      <c r="O59" s="23"/>
      <c r="P59" s="10" t="s">
        <v>27</v>
      </c>
    </row>
    <row r="60" spans="1:16" x14ac:dyDescent="0.25">
      <c r="A60" s="4">
        <v>59</v>
      </c>
      <c r="B60" s="16" t="s">
        <v>304</v>
      </c>
      <c r="C60" s="16" t="s">
        <v>305</v>
      </c>
      <c r="D60" s="16">
        <v>30</v>
      </c>
      <c r="E60" s="16" t="s">
        <v>306</v>
      </c>
      <c r="F60" s="17">
        <v>0.11</v>
      </c>
      <c r="G60" s="11">
        <f t="shared" si="4"/>
        <v>3.3</v>
      </c>
      <c r="H60" s="18">
        <f t="shared" si="5"/>
        <v>86427</v>
      </c>
      <c r="I60" s="19" t="s">
        <v>307</v>
      </c>
      <c r="J60" s="14" t="s">
        <v>21</v>
      </c>
      <c r="K60" s="16" t="s">
        <v>111</v>
      </c>
      <c r="L60" s="21" t="s">
        <v>123</v>
      </c>
      <c r="M60" s="22" t="s">
        <v>113</v>
      </c>
      <c r="N60" s="46" t="s">
        <v>56</v>
      </c>
      <c r="O60" s="23"/>
      <c r="P60" s="10" t="s">
        <v>27</v>
      </c>
    </row>
    <row r="61" spans="1:16" x14ac:dyDescent="0.25">
      <c r="A61" s="4">
        <v>60</v>
      </c>
      <c r="B61" s="16" t="s">
        <v>308</v>
      </c>
      <c r="C61" s="16" t="s">
        <v>309</v>
      </c>
      <c r="D61" s="16">
        <v>25</v>
      </c>
      <c r="E61" s="16" t="s">
        <v>310</v>
      </c>
      <c r="F61" s="17">
        <v>0.1</v>
      </c>
      <c r="G61" s="11">
        <f t="shared" si="4"/>
        <v>2.5</v>
      </c>
      <c r="H61" s="18">
        <f t="shared" si="5"/>
        <v>65475</v>
      </c>
      <c r="I61" s="19" t="s">
        <v>311</v>
      </c>
      <c r="J61" s="14" t="s">
        <v>21</v>
      </c>
      <c r="K61" s="16" t="s">
        <v>53</v>
      </c>
      <c r="L61" s="21" t="s">
        <v>312</v>
      </c>
      <c r="M61" s="23" t="s">
        <v>55</v>
      </c>
      <c r="N61" s="46" t="s">
        <v>56</v>
      </c>
      <c r="O61" s="23"/>
      <c r="P61" s="10" t="s">
        <v>27</v>
      </c>
    </row>
    <row r="62" spans="1:16" x14ac:dyDescent="0.25">
      <c r="A62" s="4">
        <v>61</v>
      </c>
      <c r="B62" s="16" t="s">
        <v>313</v>
      </c>
      <c r="C62" s="16" t="s">
        <v>314</v>
      </c>
      <c r="D62" s="16">
        <v>25</v>
      </c>
      <c r="E62" s="16" t="s">
        <v>315</v>
      </c>
      <c r="F62" s="17">
        <v>0.34</v>
      </c>
      <c r="G62" s="11">
        <f t="shared" si="4"/>
        <v>8.5</v>
      </c>
      <c r="H62" s="18">
        <f t="shared" si="5"/>
        <v>222615</v>
      </c>
      <c r="I62" s="19" t="s">
        <v>316</v>
      </c>
      <c r="J62" s="14" t="s">
        <v>21</v>
      </c>
      <c r="K62" s="16" t="s">
        <v>111</v>
      </c>
      <c r="L62" s="21" t="s">
        <v>317</v>
      </c>
      <c r="M62" s="22" t="s">
        <v>113</v>
      </c>
      <c r="N62" s="23"/>
      <c r="O62" s="23"/>
      <c r="P62" s="10" t="s">
        <v>27</v>
      </c>
    </row>
    <row r="63" spans="1:16" x14ac:dyDescent="0.25">
      <c r="A63" s="4">
        <v>62</v>
      </c>
      <c r="B63" s="16" t="s">
        <v>318</v>
      </c>
      <c r="C63" s="16" t="s">
        <v>319</v>
      </c>
      <c r="D63" s="16">
        <v>25</v>
      </c>
      <c r="E63" s="16" t="s">
        <v>320</v>
      </c>
      <c r="F63" s="17">
        <v>0.1</v>
      </c>
      <c r="G63" s="11">
        <f t="shared" si="4"/>
        <v>2.5</v>
      </c>
      <c r="H63" s="18">
        <f t="shared" si="5"/>
        <v>65475</v>
      </c>
      <c r="I63" s="19" t="s">
        <v>321</v>
      </c>
      <c r="J63" s="14" t="s">
        <v>21</v>
      </c>
      <c r="K63" s="16" t="s">
        <v>111</v>
      </c>
      <c r="L63" s="21" t="s">
        <v>322</v>
      </c>
      <c r="M63" s="22" t="s">
        <v>113</v>
      </c>
      <c r="N63" s="46" t="s">
        <v>56</v>
      </c>
      <c r="O63" s="23"/>
      <c r="P63" s="10" t="s">
        <v>27</v>
      </c>
    </row>
    <row r="64" spans="1:16" x14ac:dyDescent="0.25">
      <c r="A64" s="15"/>
      <c r="B64" s="16"/>
      <c r="C64" s="16"/>
      <c r="D64" s="16"/>
      <c r="E64" s="16"/>
      <c r="F64" s="17"/>
      <c r="G64" s="5"/>
      <c r="H64" s="18"/>
      <c r="I64" s="19"/>
      <c r="J64" s="20" t="s">
        <v>323</v>
      </c>
      <c r="K64" s="16"/>
      <c r="L64" s="21"/>
      <c r="M64" s="22"/>
      <c r="N64" s="23"/>
      <c r="O64" s="23"/>
      <c r="P64" s="24" t="s">
        <v>324</v>
      </c>
    </row>
    <row r="65" spans="1:16" x14ac:dyDescent="0.25">
      <c r="A65" s="16"/>
      <c r="B65" s="16"/>
      <c r="C65" s="16"/>
      <c r="D65" s="16"/>
      <c r="E65" s="16"/>
      <c r="F65" s="17"/>
      <c r="G65" s="5"/>
      <c r="H65" s="18"/>
      <c r="I65" s="19"/>
      <c r="J65" s="20" t="s">
        <v>323</v>
      </c>
      <c r="K65" s="16"/>
      <c r="L65" s="21"/>
      <c r="M65" s="23"/>
      <c r="N65" s="23"/>
      <c r="O65" s="23"/>
      <c r="P65" s="24" t="s">
        <v>324</v>
      </c>
    </row>
    <row r="66" spans="1:16" x14ac:dyDescent="0.25">
      <c r="A66" s="15"/>
      <c r="B66" s="16"/>
      <c r="C66" s="16"/>
      <c r="D66" s="16"/>
      <c r="E66" s="16"/>
      <c r="F66" s="17"/>
      <c r="G66" s="5"/>
      <c r="H66" s="18"/>
      <c r="I66" s="19"/>
      <c r="J66" s="20" t="s">
        <v>323</v>
      </c>
      <c r="K66" s="16"/>
      <c r="L66" s="21"/>
      <c r="M66" s="22"/>
      <c r="N66" s="23"/>
      <c r="O66" s="23"/>
      <c r="P66" s="24" t="s">
        <v>324</v>
      </c>
    </row>
    <row r="67" spans="1:16" x14ac:dyDescent="0.25">
      <c r="A67" s="16"/>
      <c r="B67" s="16"/>
      <c r="C67" s="16"/>
      <c r="D67" s="16"/>
      <c r="E67" s="16"/>
      <c r="F67" s="17"/>
      <c r="G67" s="5"/>
      <c r="H67" s="18"/>
      <c r="I67" s="19"/>
      <c r="J67" s="20" t="s">
        <v>323</v>
      </c>
      <c r="K67" s="16"/>
      <c r="L67" s="21"/>
      <c r="M67" s="22"/>
      <c r="N67" s="23"/>
      <c r="O67" s="23"/>
      <c r="P67" s="24" t="s">
        <v>324</v>
      </c>
    </row>
  </sheetData>
  <hyperlinks>
    <hyperlink ref="I3" r:id="rId1" xr:uid="{E1B3D47C-8AA1-46DF-83DD-AA6F40775BB2}"/>
    <hyperlink ref="I2" r:id="rId2" xr:uid="{23A32C62-9B28-440C-B23E-5DB6EF0A2F5B}"/>
    <hyperlink ref="I4" r:id="rId3" xr:uid="{63231005-3610-4047-A930-0C8235007B7D}"/>
    <hyperlink ref="I5" r:id="rId4" xr:uid="{36FD7FF0-3629-43C1-9E2C-4A6B624D94FB}"/>
    <hyperlink ref="I6" r:id="rId5" xr:uid="{8C061200-F099-4AB3-8CAF-BAAF1BBD75AB}"/>
    <hyperlink ref="I7" r:id="rId6" xr:uid="{68125ACD-B3BD-4C09-A2CB-7D7A6FDB4268}"/>
    <hyperlink ref="I8" r:id="rId7" xr:uid="{D6B308EE-B809-442F-A6DA-209D4B3BEB67}"/>
    <hyperlink ref="I10" r:id="rId8" xr:uid="{EBD944EA-0D84-48A2-B606-EB3D9FD3BF54}"/>
    <hyperlink ref="I9" r:id="rId9" xr:uid="{D69AE04B-8600-4349-BD1A-89EBBA805451}"/>
    <hyperlink ref="I11" r:id="rId10" xr:uid="{748E09FA-C8EE-4909-B0F3-6165629C6858}"/>
    <hyperlink ref="I12" r:id="rId11" xr:uid="{D9637337-7E31-419D-BBC5-DC13E7BA38F1}"/>
    <hyperlink ref="I13" r:id="rId12" display="https://www.digikey.com/en/products/detail/vishay-dale/tnpw06031k78beea/1606793" xr:uid="{78637895-2583-406F-BC14-77083EA301C2}"/>
    <hyperlink ref="I14" r:id="rId13" xr:uid="{B650F7AC-58E4-4915-A08B-FFAF349D23F8}"/>
    <hyperlink ref="I15" r:id="rId14" xr:uid="{D0C1E6F4-CB69-4FEF-869A-A7FC116FD6D9}"/>
    <hyperlink ref="I16" r:id="rId15" xr:uid="{7C6824EF-DC50-4130-A39D-6D99DE2168AA}"/>
    <hyperlink ref="I17" r:id="rId16" xr:uid="{4344BB84-3514-44A7-83ED-DBFA3C037823}"/>
    <hyperlink ref="I18" r:id="rId17" xr:uid="{5095DC33-6AE5-4287-A33B-A7374AF132D6}"/>
    <hyperlink ref="I19" r:id="rId18" xr:uid="{FEF0BB3A-D501-45D5-BB84-3114EE589F19}"/>
    <hyperlink ref="I20" r:id="rId19" xr:uid="{407B34D4-B559-4C34-9074-D83434E070EE}"/>
    <hyperlink ref="I21" r:id="rId20" xr:uid="{F079B4CB-D37E-499A-907F-A661D25D8A31}"/>
    <hyperlink ref="I22" r:id="rId21" xr:uid="{5C5E7C51-EFE9-4E8D-AD5E-CF509C43EAB5}"/>
    <hyperlink ref="I23" r:id="rId22" xr:uid="{B3CA67B4-F01D-4EC7-BF23-45050E947B90}"/>
    <hyperlink ref="I24" r:id="rId23" xr:uid="{4094A24D-D647-46E4-81FF-9CB53575DFC7}"/>
    <hyperlink ref="I25" r:id="rId24" xr:uid="{6ED89482-3772-4297-8BC9-B5600A0FF492}"/>
    <hyperlink ref="I26" r:id="rId25" xr:uid="{0034A981-295C-4956-96B6-CBD23223ADC7}"/>
    <hyperlink ref="I27" r:id="rId26" xr:uid="{7CC7D326-247A-4983-8552-236655E4CFC3}"/>
    <hyperlink ref="I28" r:id="rId27" xr:uid="{14ADE602-7723-4075-B9F3-0CD1DFA20D92}"/>
    <hyperlink ref="I29" r:id="rId28" xr:uid="{126970CC-B1DE-4D8B-8AC0-C02F7FD24E46}"/>
    <hyperlink ref="I30" r:id="rId29" xr:uid="{D0259BE7-4411-4BFF-A2F0-E7C83A1FA901}"/>
    <hyperlink ref="I31" r:id="rId30" display="https://www.digikey.com/en/products/detail/panasonic-electronic-components/ERJ-3EKF49R9V/196378" xr:uid="{14C99A9D-E2AC-4766-AC5D-E1726F2771DF}"/>
    <hyperlink ref="I32" r:id="rId31" xr:uid="{AA0820CD-3FF1-4DA8-BE3A-115B9B96FA9C}"/>
    <hyperlink ref="I33" r:id="rId32" xr:uid="{F05FEF12-093A-4F9A-B592-318D20125ACB}"/>
    <hyperlink ref="I34" r:id="rId33" xr:uid="{EED870F9-9F98-4998-84FB-192D86F546F1}"/>
    <hyperlink ref="I35" r:id="rId34" xr:uid="{BB6DE529-53F6-48DF-9F6C-488CC684CC45}"/>
    <hyperlink ref="I36" r:id="rId35" xr:uid="{3FA2309B-2B9D-4739-9931-D714D4A85D71}"/>
    <hyperlink ref="I37" r:id="rId36" xr:uid="{8E47A486-B261-46A7-B281-EF714F4C30D3}"/>
    <hyperlink ref="I38" r:id="rId37" xr:uid="{A1C7551C-2658-4D4B-9482-D65254232235}"/>
    <hyperlink ref="I39" r:id="rId38" xr:uid="{38DD05ED-E120-4185-A00E-0DCE14DEB7A1}"/>
    <hyperlink ref="I40" r:id="rId39" xr:uid="{9F58C96C-23F9-4A29-AC3A-B186B3F227DD}"/>
    <hyperlink ref="I41" r:id="rId40" xr:uid="{79E9CF0C-1E3C-4056-A5EC-EC59538B1F42}"/>
    <hyperlink ref="I42" r:id="rId41" xr:uid="{7CBB2853-741F-4DDB-B4AA-41E054AF2DE4}"/>
    <hyperlink ref="I43" r:id="rId42" xr:uid="{41F0ABDE-37A7-4EA2-AC85-7310DD79AE06}"/>
    <hyperlink ref="I44" r:id="rId43" xr:uid="{4BA5681B-902A-4917-BA0C-9AA089D1329F}"/>
    <hyperlink ref="I45" r:id="rId44" xr:uid="{1EEEA731-28CE-4CED-AAA4-2F3E7FFAD274}"/>
    <hyperlink ref="I46" r:id="rId45" xr:uid="{776279AE-5059-4434-BFC0-E47E2752300A}"/>
    <hyperlink ref="I47" r:id="rId46" xr:uid="{12716EE2-F5B1-4FD7-815F-8DC32AA14768}"/>
    <hyperlink ref="I48" r:id="rId47" xr:uid="{ABC6DD3C-8AA9-4680-B9E9-248C17895986}"/>
    <hyperlink ref="I49" r:id="rId48" xr:uid="{AB47E613-17C5-4DED-833E-D13455BF2331}"/>
    <hyperlink ref="I50" r:id="rId49" xr:uid="{E7DFC77B-17F0-4211-B3FD-63C3DCE95689}"/>
    <hyperlink ref="I51" r:id="rId50" xr:uid="{E133F1EC-442B-4315-8DEC-4FE52A0CE575}"/>
    <hyperlink ref="I52" r:id="rId51" xr:uid="{12537871-9F36-474D-B486-45CA055B5EC4}"/>
    <hyperlink ref="I53" r:id="rId52" xr:uid="{29066D53-30B9-4D90-9BB9-67D152FC2219}"/>
    <hyperlink ref="I55" r:id="rId53" xr:uid="{CE20E556-8206-44C4-9E28-4C83113C9F13}"/>
    <hyperlink ref="I54" r:id="rId54" xr:uid="{ED608CC9-0CA9-49DE-B614-FD699107BE24}"/>
    <hyperlink ref="I56" r:id="rId55" xr:uid="{8EBEE1EE-9694-46A2-9726-060CC6F5D4F3}"/>
    <hyperlink ref="I57" r:id="rId56" xr:uid="{7BE12CFF-2288-42B0-AEB0-C5F3B9E54C74}"/>
    <hyperlink ref="I58" r:id="rId57" xr:uid="{1B1C01DA-8445-4411-8490-15CD54C367D3}"/>
    <hyperlink ref="I59" r:id="rId58" xr:uid="{0D156B22-04B3-4675-8907-B9ACD3AAB413}"/>
    <hyperlink ref="I60" r:id="rId59" xr:uid="{6F11868A-1B10-45B7-AB6E-FD6BA8CB24E0}"/>
    <hyperlink ref="I61" r:id="rId60" xr:uid="{28529B1E-0A4F-4286-BE07-4296CE7B8B79}"/>
    <hyperlink ref="I62" r:id="rId61" xr:uid="{EF9ED7A8-23AD-4144-B007-10866E24153D}"/>
    <hyperlink ref="I63" r:id="rId62" xr:uid="{816D965F-DDC9-43F7-8DEA-4D546D20C2D0}"/>
  </hyperlinks>
  <pageMargins left="0.7" right="0.7" top="0.75" bottom="0.75" header="0.3" footer="0.3"/>
  <pageSetup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Khôi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2026-03-18T17:53:03Z</dcterms:modified>
  <cp:category/>
  <cp:contentStatus/>
</cp:coreProperties>
</file>